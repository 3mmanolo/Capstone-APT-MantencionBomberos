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Instructivo" sheetId="3" r:id="rId6"/>
  </sheets>
  <definedNames/>
  <calcPr/>
  <extLst>
    <ext uri="GoogleSheetsCustomDataVersion2">
      <go:sheetsCustomData xmlns:go="http://customooxmlschemas.google.com/" r:id="rId7" roundtripDataChecksum="xqoM9lsEbCqS1jEUeMZfv8rLgaw0Q61ZmU5s1nuRVFM="/>
    </ext>
  </extLst>
</workbook>
</file>

<file path=xl/sharedStrings.xml><?xml version="1.0" encoding="utf-8"?>
<sst xmlns="http://schemas.openxmlformats.org/spreadsheetml/2006/main" count="239" uniqueCount="79">
  <si>
    <t>Metodologías ágiles: Lista de tareas de la iteración</t>
  </si>
  <si>
    <t>Lista de tareas de la iteración (Sprint Backlog): Instructivo</t>
  </si>
  <si>
    <t>Elaborado por: pmoinformatica.com</t>
  </si>
  <si>
    <t>(Sprint Backlog)</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</si>
  <si>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</si>
  <si>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</si>
  <si>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</si>
  <si>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</si>
  <si>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Día 1</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</si>
  <si>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</si>
  <si>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</si>
  <si>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Día 2</t>
  </si>
  <si>
    <t>Día 3</t>
  </si>
  <si>
    <t>Día 4</t>
  </si>
  <si>
    <t>Día 5</t>
  </si>
  <si>
    <t>Día 6</t>
  </si>
  <si>
    <t>Día 7</t>
  </si>
  <si>
    <t>Dueño / Voluntario</t>
  </si>
  <si>
    <t>Día 8</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</si>
  <si>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</si>
  <si>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Día 9</t>
  </si>
  <si>
    <t>Día 10</t>
  </si>
  <si>
    <t>Día 11</t>
  </si>
  <si>
    <t>Día 12</t>
  </si>
  <si>
    <t>Día 13</t>
  </si>
  <si>
    <t>Día 14</t>
  </si>
  <si>
    <t>Día 15</t>
  </si>
  <si>
    <t>Día 16</t>
  </si>
  <si>
    <t>Estatus</t>
  </si>
  <si>
    <t>Día 17</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</si>
  <si>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</si>
  <si>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Día 18</t>
  </si>
  <si>
    <t>Día 19</t>
  </si>
  <si>
    <t>Día 20</t>
  </si>
  <si>
    <t>Total</t>
  </si>
  <si>
    <t>Identificador (ID) de item de product backlog</t>
  </si>
  <si>
    <t>Horas estimadas totales</t>
  </si>
  <si>
    <t>Enunciado del item de Product Backlog</t>
  </si>
  <si>
    <t>Horas que han sido estimadas por el equipo Scrum que serán necesarias para ejecutar la tarea. La asignación de estimados se realiza durante la reunión de planificación de la iteración (Sprint Planning Meeting).</t>
  </si>
  <si>
    <t>Cons.</t>
  </si>
  <si>
    <t>Rest.</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</si>
  <si>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</si>
  <si>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</si>
  <si>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</si>
  <si>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HU1-01</t>
  </si>
  <si>
    <t>Consultar las ofertas de habitaciones.</t>
  </si>
  <si>
    <t>Analisis</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</si>
  <si>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</si>
  <si>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</si>
  <si>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Como un Bombero jefe de flota Necesito Registrar una revision del vehiculo Con la finalidad de  llevar un historial de las matenciones de cada carro</t>
  </si>
  <si>
    <t>T1 Modelo BD revision</t>
  </si>
  <si>
    <t>Scrum Team</t>
  </si>
  <si>
    <t>EN PROCESO</t>
  </si>
  <si>
    <t>Diseño</t>
  </si>
  <si>
    <t>Codificación</t>
  </si>
  <si>
    <t>Implementación</t>
  </si>
  <si>
    <t>T2 Crear formulario Mnatencion</t>
  </si>
  <si>
    <t>XX-XXXX-XXXX</t>
  </si>
  <si>
    <t>Como un [Rol], necesito [descripción de la funcionalidad], con la finalidad de [Razón o Resultado]</t>
  </si>
  <si>
    <t>[Enunciado de tarea 1]</t>
  </si>
  <si>
    <t>Crear Interfaz Historial de revisiones</t>
  </si>
  <si>
    <t>[Enunciado de tarea 2]</t>
  </si>
  <si>
    <t>[Enunciado de tarea 3]</t>
  </si>
  <si>
    <t>Programar funcionde calculo de precios</t>
  </si>
  <si>
    <t>[Enunciado de tarea 4]</t>
  </si>
  <si>
    <t>Diseñar interfaz para asociar repuestos a una revisión</t>
  </si>
  <si>
    <t>HU-03</t>
  </si>
  <si>
    <t>Como un Bombero jefe de flota Necesito Añadir un nuevo vehiculo al sistema Con la finalidad de  Registrar rvisiones a vehiculos futuros dentro del cuartel</t>
  </si>
  <si>
    <t>Crear Interfaz/Formulario "Añadir Vehículo"</t>
  </si>
  <si>
    <t>Crear Modelo BD Vehiculo</t>
  </si>
  <si>
    <t>0.5</t>
  </si>
  <si>
    <t>Implementar validaciones de patente duplicada y campos requeridos</t>
  </si>
  <si>
    <t>HU-04</t>
  </si>
  <si>
    <t>Como un Bombero jefe de flota Necesito Editar la disponibilidad de cada carro Con la finalidad de  Saber rapidamente que carros estan aptos para salida a terreno</t>
  </si>
  <si>
    <t>Crear boton de cambio disponibilidad</t>
  </si>
  <si>
    <t>HU-07</t>
  </si>
  <si>
    <t>Crear Modelo BD Usuario</t>
  </si>
  <si>
    <t>Como un [Bombero Necesito Iniciar sesion con mis credenciales Con la finalidad de autenticarse en la red y conocer quien registra cada revision</t>
  </si>
  <si>
    <t>Crear Interfaz Login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</si>
</sst>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Calibri"/>
    </font>
    <font>
      <b/>
      <sz val="22.0"/>
      <color theme="1"/>
      <name val="Calibri"/>
    </font>
    <font>
      <b/>
      <sz val="16.0"/>
      <color rgb="FF1F497D"/>
      <name val="Calibri"/>
    </font>
    <font>
      <sz val="11.0"/>
      <color theme="0"/>
      <name val="Calibri"/>
    </font>
    <font/>
    <font>
      <color theme="1"/>
      <name val="Arial"/>
      <scheme val="minor"/>
    </font>
    <font>
      <sz val="11.0"/>
      <color rgb="FF00000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2" fontId="1" numFmtId="0" xfId="0" applyAlignment="1" applyBorder="1" applyFill="1" applyFont="1">
      <alignment horizontal="left" readingOrder="0" shrinkToFit="0" vertical="top" wrapText="1"/>
    </xf>
    <xf borderId="0" fillId="0" fontId="6" numFmtId="0" xfId="0" applyAlignment="1" applyFont="1">
      <alignment readingOrder="0"/>
    </xf>
    <xf borderId="2" fillId="2" fontId="1" numFmtId="0" xfId="0" applyAlignment="1" applyBorder="1" applyFill="1" applyFont="1">
      <alignment horizontal="right" readingOrder="0" shrinkToFit="0" vertical="top" wrapText="1"/>
    </xf>
    <xf borderId="2" fillId="5" fontId="1" numFmtId="0" xfId="0" applyAlignment="1" applyBorder="1" applyFill="1" applyFont="1">
      <alignment horizontal="right" shrinkToFit="0" vertical="top" wrapText="1"/>
    </xf>
    <xf borderId="2" fillId="0" fontId="7"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14.0"/>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8</v>
      </c>
      <c r="I4" s="7"/>
      <c r="J4" s="8"/>
      <c r="K4" s="6" t="s">
        <v>11</v>
      </c>
      <c r="L4" s="7"/>
      <c r="M4" s="8"/>
      <c r="N4" s="6" t="s">
        <v>12</v>
      </c>
      <c r="O4" s="7"/>
      <c r="P4" s="8"/>
      <c r="Q4" s="6" t="s">
        <v>13</v>
      </c>
      <c r="R4" s="7"/>
      <c r="S4" s="8"/>
      <c r="T4" s="6" t="s">
        <v>14</v>
      </c>
      <c r="U4" s="7"/>
      <c r="V4" s="8"/>
      <c r="W4" s="6" t="s">
        <v>15</v>
      </c>
      <c r="X4" s="7"/>
      <c r="Y4" s="8"/>
      <c r="Z4" s="6" t="s">
        <v>16</v>
      </c>
      <c r="AA4" s="7"/>
      <c r="AB4" s="8"/>
      <c r="AC4" s="6" t="s">
        <v>18</v>
      </c>
      <c r="AD4" s="7"/>
      <c r="AE4" s="8"/>
      <c r="AF4" s="6" t="s">
        <v>20</v>
      </c>
      <c r="AG4" s="7"/>
      <c r="AH4" s="8"/>
      <c r="AI4" s="6" t="s">
        <v>21</v>
      </c>
      <c r="AJ4" s="7"/>
      <c r="AK4" s="8"/>
      <c r="AL4" s="6" t="s">
        <v>22</v>
      </c>
      <c r="AM4" s="7"/>
      <c r="AN4" s="8"/>
      <c r="AO4" s="6" t="s">
        <v>23</v>
      </c>
      <c r="AP4" s="7"/>
      <c r="AQ4" s="8"/>
      <c r="AR4" s="6" t="s">
        <v>24</v>
      </c>
      <c r="AS4" s="7"/>
      <c r="AT4" s="8"/>
      <c r="AU4" s="6" t="s">
        <v>25</v>
      </c>
      <c r="AV4" s="7"/>
      <c r="AW4" s="8"/>
      <c r="AX4" s="6" t="s">
        <v>26</v>
      </c>
      <c r="AY4" s="7"/>
      <c r="AZ4" s="8"/>
      <c r="BA4" s="6" t="s">
        <v>27</v>
      </c>
      <c r="BB4" s="7"/>
      <c r="BC4" s="8"/>
      <c r="BD4" s="6" t="s">
        <v>29</v>
      </c>
      <c r="BE4" s="7"/>
      <c r="BF4" s="8"/>
      <c r="BG4" s="6" t="s">
        <v>31</v>
      </c>
      <c r="BH4" s="7"/>
      <c r="BI4" s="8"/>
      <c r="BJ4" s="6" t="s">
        <v>32</v>
      </c>
      <c r="BK4" s="7"/>
      <c r="BL4" s="8"/>
      <c r="BM4" s="6" t="s">
        <v>33</v>
      </c>
      <c r="BN4" s="7"/>
      <c r="BO4" s="8"/>
      <c r="BP4" s="6" t="s">
        <v>34</v>
      </c>
      <c r="BQ4" s="7"/>
    </row>
    <row r="5">
      <c r="A5" s="1"/>
      <c r="B5" s="9" t="s">
        <v>35</v>
      </c>
      <c r="C5" s="9" t="s">
        <v>37</v>
      </c>
      <c r="D5" s="9" t="s">
        <v>9</v>
      </c>
      <c r="E5" s="9" t="s">
        <v>17</v>
      </c>
      <c r="F5" s="9" t="s">
        <v>28</v>
      </c>
      <c r="G5" s="9" t="s">
        <v>36</v>
      </c>
      <c r="H5" s="10" t="s">
        <v>39</v>
      </c>
      <c r="I5" s="10" t="s">
        <v>40</v>
      </c>
      <c r="J5" s="10"/>
      <c r="K5" s="10" t="s">
        <v>39</v>
      </c>
      <c r="L5" s="10" t="s">
        <v>40</v>
      </c>
      <c r="M5" s="10"/>
      <c r="N5" s="10" t="s">
        <v>39</v>
      </c>
      <c r="O5" s="10" t="s">
        <v>40</v>
      </c>
      <c r="P5" s="10"/>
      <c r="Q5" s="10" t="s">
        <v>39</v>
      </c>
      <c r="R5" s="10" t="s">
        <v>40</v>
      </c>
      <c r="S5" s="10"/>
      <c r="T5" s="10" t="s">
        <v>39</v>
      </c>
      <c r="U5" s="10" t="s">
        <v>40</v>
      </c>
      <c r="V5" s="10"/>
      <c r="W5" s="10" t="s">
        <v>39</v>
      </c>
      <c r="X5" s="10" t="s">
        <v>40</v>
      </c>
      <c r="Y5" s="10"/>
      <c r="Z5" s="10" t="s">
        <v>39</v>
      </c>
      <c r="AA5" s="10" t="s">
        <v>40</v>
      </c>
      <c r="AB5" s="10"/>
      <c r="AC5" s="10" t="s">
        <v>39</v>
      </c>
      <c r="AD5" s="10" t="s">
        <v>40</v>
      </c>
      <c r="AE5" s="10"/>
      <c r="AF5" s="10" t="s">
        <v>39</v>
      </c>
      <c r="AG5" s="10" t="s">
        <v>40</v>
      </c>
      <c r="AH5" s="10"/>
      <c r="AI5" s="10" t="s">
        <v>39</v>
      </c>
      <c r="AJ5" s="10" t="s">
        <v>40</v>
      </c>
      <c r="AK5" s="10"/>
      <c r="AL5" s="10" t="s">
        <v>39</v>
      </c>
      <c r="AM5" s="10" t="s">
        <v>40</v>
      </c>
      <c r="AN5" s="10"/>
      <c r="AO5" s="10" t="s">
        <v>39</v>
      </c>
      <c r="AP5" s="10" t="s">
        <v>40</v>
      </c>
      <c r="AQ5" s="10"/>
      <c r="AR5" s="10" t="s">
        <v>39</v>
      </c>
      <c r="AS5" s="10" t="s">
        <v>40</v>
      </c>
      <c r="AT5" s="10"/>
      <c r="AU5" s="10" t="s">
        <v>39</v>
      </c>
      <c r="AV5" s="10" t="s">
        <v>40</v>
      </c>
      <c r="AW5" s="10"/>
      <c r="AX5" s="10" t="s">
        <v>39</v>
      </c>
      <c r="AY5" s="10" t="s">
        <v>40</v>
      </c>
      <c r="AZ5" s="10"/>
      <c r="BA5" s="10" t="s">
        <v>39</v>
      </c>
      <c r="BB5" s="10" t="s">
        <v>40</v>
      </c>
      <c r="BC5" s="10"/>
      <c r="BD5" s="10" t="s">
        <v>39</v>
      </c>
      <c r="BE5" s="10" t="s">
        <v>40</v>
      </c>
      <c r="BF5" s="10"/>
      <c r="BG5" s="10" t="s">
        <v>39</v>
      </c>
      <c r="BH5" s="10" t="s">
        <v>40</v>
      </c>
      <c r="BI5" s="10"/>
      <c r="BJ5" s="10" t="s">
        <v>39</v>
      </c>
      <c r="BK5" s="10" t="s">
        <v>40</v>
      </c>
      <c r="BL5" s="10"/>
      <c r="BM5" s="10" t="s">
        <v>39</v>
      </c>
      <c r="BN5" s="10" t="s">
        <v>40</v>
      </c>
      <c r="BO5" s="10"/>
      <c r="BP5" s="10" t="s">
        <v>39</v>
      </c>
      <c r="BQ5" s="10" t="s">
        <v>40</v>
      </c>
    </row>
    <row r="6">
      <c r="A6" s="1"/>
      <c r="B6" s="5" t="s">
        <v>44</v>
      </c>
      <c r="C6" s="13" t="s">
        <v>49</v>
      </c>
      <c r="D6" s="13" t="s">
        <v>50</v>
      </c>
      <c r="E6" s="14" t="s">
        <v>51</v>
      </c>
      <c r="F6" s="13" t="s">
        <v>52</v>
      </c>
      <c r="G6" s="13">
        <v>3.0</v>
      </c>
      <c r="H6" s="15"/>
      <c r="I6" s="11">
        <f t="shared" ref="I6:I17" si="1">G6-H6</f>
        <v>3</v>
      </c>
      <c r="J6" s="12"/>
      <c r="K6" s="11"/>
      <c r="L6" s="11">
        <f t="shared" ref="L6:L17" si="2">I6-K6</f>
        <v>3</v>
      </c>
      <c r="M6" s="12"/>
      <c r="N6" s="11"/>
      <c r="O6" s="11">
        <f t="shared" ref="O6:O17" si="3">L6-N6</f>
        <v>3</v>
      </c>
      <c r="P6" s="12"/>
      <c r="Q6" s="11"/>
      <c r="R6" s="11">
        <f t="shared" ref="R6:R17" si="4">O6-Q6</f>
        <v>3</v>
      </c>
      <c r="S6" s="12"/>
      <c r="T6" s="11"/>
      <c r="U6" s="11">
        <f t="shared" ref="U6:U17" si="5">R6-T6</f>
        <v>3</v>
      </c>
      <c r="V6" s="12"/>
      <c r="W6" s="11"/>
      <c r="X6" s="11">
        <f t="shared" ref="X6:X17" si="6">U6-W6</f>
        <v>3</v>
      </c>
      <c r="Y6" s="12"/>
      <c r="Z6" s="11"/>
      <c r="AA6" s="11">
        <f t="shared" ref="AA6:AA17" si="7">X6-Z6</f>
        <v>3</v>
      </c>
      <c r="AB6" s="12"/>
      <c r="AC6" s="11"/>
      <c r="AD6" s="11">
        <f t="shared" ref="AD6:AD17" si="8">AA6-AC6</f>
        <v>3</v>
      </c>
      <c r="AE6" s="12"/>
      <c r="AF6" s="11"/>
      <c r="AG6" s="11">
        <f t="shared" ref="AG6:AG17" si="9">AD6-AF6</f>
        <v>3</v>
      </c>
      <c r="AH6" s="12"/>
      <c r="AI6" s="11"/>
      <c r="AJ6" s="11">
        <f t="shared" ref="AJ6:AJ17" si="10">AG6-AI6</f>
        <v>3</v>
      </c>
      <c r="AK6" s="12"/>
      <c r="AL6" s="11"/>
      <c r="AM6" s="11">
        <f t="shared" ref="AM6:AM17" si="11">AJ6-AL6</f>
        <v>3</v>
      </c>
      <c r="AN6" s="12"/>
      <c r="AO6" s="11"/>
      <c r="AP6" s="11">
        <f t="shared" ref="AP6:AP17" si="12">AM6-AO6</f>
        <v>3</v>
      </c>
      <c r="AQ6" s="12"/>
      <c r="AR6" s="11"/>
      <c r="AS6" s="11">
        <f t="shared" ref="AS6:AS17" si="13">AP6-AR6</f>
        <v>3</v>
      </c>
      <c r="AT6" s="12"/>
      <c r="AU6" s="11"/>
      <c r="AV6" s="11">
        <f t="shared" ref="AV6:AV17" si="14">AS6-AU6</f>
        <v>3</v>
      </c>
      <c r="AW6" s="12"/>
      <c r="AX6" s="11"/>
      <c r="AY6" s="11">
        <f t="shared" ref="AY6:AY17" si="15">AV6-AX6</f>
        <v>3</v>
      </c>
      <c r="AZ6" s="12"/>
      <c r="BA6" s="11"/>
      <c r="BB6" s="11">
        <f t="shared" ref="BB6:BB17" si="16">AY6-BA6</f>
        <v>3</v>
      </c>
      <c r="BC6" s="12"/>
      <c r="BD6" s="11"/>
      <c r="BE6" s="11">
        <f t="shared" ref="BE6:BE17" si="17">BB6-BD6</f>
        <v>3</v>
      </c>
      <c r="BF6" s="12"/>
      <c r="BG6" s="11"/>
      <c r="BH6" s="11">
        <f t="shared" ref="BH6:BH17" si="18">BE6-BG6</f>
        <v>3</v>
      </c>
      <c r="BI6" s="12"/>
      <c r="BJ6" s="11"/>
      <c r="BK6" s="11">
        <f t="shared" ref="BK6:BK17" si="19">BH6-BJ6</f>
        <v>3</v>
      </c>
      <c r="BL6" s="12"/>
      <c r="BM6" s="11"/>
      <c r="BN6" s="11">
        <f t="shared" ref="BN6:BN17" si="20">BK6-BM6</f>
        <v>3</v>
      </c>
      <c r="BO6" s="12"/>
      <c r="BP6" s="16">
        <f t="shared" ref="BP6:BP17" si="21">H6+K6+N6+Q6+T6+W6+Z6+AC6+AF6+AI6+AL6+AO6+AR6+AU6+AX6+BA6+BD6+BG6+BJ6+BM6</f>
        <v>0</v>
      </c>
      <c r="BQ6" s="16">
        <f t="shared" ref="BQ6:BQ17" si="22">G6-BP6</f>
        <v>3</v>
      </c>
    </row>
    <row r="7">
      <c r="A7" s="1"/>
      <c r="B7" s="13" t="s">
        <v>44</v>
      </c>
      <c r="C7" s="13" t="s">
        <v>49</v>
      </c>
      <c r="D7" s="13" t="s">
        <v>56</v>
      </c>
      <c r="E7" s="14" t="s">
        <v>51</v>
      </c>
      <c r="F7" s="13" t="s">
        <v>52</v>
      </c>
      <c r="G7" s="13">
        <v>3.0</v>
      </c>
      <c r="H7" s="11"/>
      <c r="I7" s="11">
        <f t="shared" si="1"/>
        <v>3</v>
      </c>
      <c r="J7" s="12"/>
      <c r="K7" s="11"/>
      <c r="L7" s="11">
        <f t="shared" si="2"/>
        <v>3</v>
      </c>
      <c r="M7" s="12"/>
      <c r="N7" s="11"/>
      <c r="O7" s="11">
        <f t="shared" si="3"/>
        <v>3</v>
      </c>
      <c r="P7" s="12"/>
      <c r="Q7" s="11"/>
      <c r="R7" s="11">
        <f t="shared" si="4"/>
        <v>3</v>
      </c>
      <c r="S7" s="12"/>
      <c r="T7" s="11"/>
      <c r="U7" s="11">
        <f t="shared" si="5"/>
        <v>3</v>
      </c>
      <c r="V7" s="12"/>
      <c r="W7" s="11"/>
      <c r="X7" s="11">
        <f t="shared" si="6"/>
        <v>3</v>
      </c>
      <c r="Y7" s="12"/>
      <c r="Z7" s="11"/>
      <c r="AA7" s="11">
        <f t="shared" si="7"/>
        <v>3</v>
      </c>
      <c r="AB7" s="12"/>
      <c r="AC7" s="11"/>
      <c r="AD7" s="11">
        <f t="shared" si="8"/>
        <v>3</v>
      </c>
      <c r="AE7" s="12"/>
      <c r="AF7" s="11"/>
      <c r="AG7" s="11">
        <f t="shared" si="9"/>
        <v>3</v>
      </c>
      <c r="AH7" s="12"/>
      <c r="AI7" s="11"/>
      <c r="AJ7" s="11">
        <f t="shared" si="10"/>
        <v>3</v>
      </c>
      <c r="AK7" s="12"/>
      <c r="AL7" s="11"/>
      <c r="AM7" s="11">
        <f t="shared" si="11"/>
        <v>3</v>
      </c>
      <c r="AN7" s="12"/>
      <c r="AO7" s="11"/>
      <c r="AP7" s="11">
        <f t="shared" si="12"/>
        <v>3</v>
      </c>
      <c r="AQ7" s="12"/>
      <c r="AR7" s="11"/>
      <c r="AS7" s="11">
        <f t="shared" si="13"/>
        <v>3</v>
      </c>
      <c r="AT7" s="12"/>
      <c r="AU7" s="11"/>
      <c r="AV7" s="11">
        <f t="shared" si="14"/>
        <v>3</v>
      </c>
      <c r="AW7" s="12"/>
      <c r="AX7" s="11"/>
      <c r="AY7" s="11">
        <f t="shared" si="15"/>
        <v>3</v>
      </c>
      <c r="AZ7" s="12"/>
      <c r="BA7" s="11"/>
      <c r="BB7" s="11">
        <f t="shared" si="16"/>
        <v>3</v>
      </c>
      <c r="BC7" s="12"/>
      <c r="BD7" s="11"/>
      <c r="BE7" s="11">
        <f t="shared" si="17"/>
        <v>3</v>
      </c>
      <c r="BF7" s="12"/>
      <c r="BG7" s="11"/>
      <c r="BH7" s="11">
        <f t="shared" si="18"/>
        <v>3</v>
      </c>
      <c r="BI7" s="12"/>
      <c r="BJ7" s="11"/>
      <c r="BK7" s="11">
        <f t="shared" si="19"/>
        <v>3</v>
      </c>
      <c r="BL7" s="12"/>
      <c r="BM7" s="11"/>
      <c r="BN7" s="11">
        <f t="shared" si="20"/>
        <v>3</v>
      </c>
      <c r="BO7" s="12"/>
      <c r="BP7" s="16">
        <f t="shared" si="21"/>
        <v>0</v>
      </c>
      <c r="BQ7" s="16">
        <f t="shared" si="22"/>
        <v>3</v>
      </c>
    </row>
    <row r="8">
      <c r="A8" s="1"/>
      <c r="B8" s="13" t="s">
        <v>44</v>
      </c>
      <c r="C8" s="13" t="s">
        <v>49</v>
      </c>
      <c r="D8" s="17" t="s">
        <v>60</v>
      </c>
      <c r="E8" s="14" t="s">
        <v>51</v>
      </c>
      <c r="F8" s="13" t="s">
        <v>52</v>
      </c>
      <c r="G8" s="13">
        <v>2.0</v>
      </c>
      <c r="H8" s="11"/>
      <c r="I8" s="11">
        <f t="shared" si="1"/>
        <v>2</v>
      </c>
      <c r="J8" s="12"/>
      <c r="K8" s="11"/>
      <c r="L8" s="11">
        <f t="shared" si="2"/>
        <v>2</v>
      </c>
      <c r="M8" s="12"/>
      <c r="N8" s="11"/>
      <c r="O8" s="11">
        <f t="shared" si="3"/>
        <v>2</v>
      </c>
      <c r="P8" s="12"/>
      <c r="Q8" s="11"/>
      <c r="R8" s="11">
        <f t="shared" si="4"/>
        <v>2</v>
      </c>
      <c r="S8" s="12"/>
      <c r="T8" s="11"/>
      <c r="U8" s="11">
        <f t="shared" si="5"/>
        <v>2</v>
      </c>
      <c r="V8" s="12"/>
      <c r="W8" s="11"/>
      <c r="X8" s="11">
        <f t="shared" si="6"/>
        <v>2</v>
      </c>
      <c r="Y8" s="12"/>
      <c r="Z8" s="11"/>
      <c r="AA8" s="11">
        <f t="shared" si="7"/>
        <v>2</v>
      </c>
      <c r="AB8" s="12"/>
      <c r="AC8" s="11"/>
      <c r="AD8" s="11">
        <f t="shared" si="8"/>
        <v>2</v>
      </c>
      <c r="AE8" s="12"/>
      <c r="AF8" s="11"/>
      <c r="AG8" s="11">
        <f t="shared" si="9"/>
        <v>2</v>
      </c>
      <c r="AH8" s="12"/>
      <c r="AI8" s="11"/>
      <c r="AJ8" s="11">
        <f t="shared" si="10"/>
        <v>2</v>
      </c>
      <c r="AK8" s="12"/>
      <c r="AL8" s="11"/>
      <c r="AM8" s="11">
        <f t="shared" si="11"/>
        <v>2</v>
      </c>
      <c r="AN8" s="12"/>
      <c r="AO8" s="11"/>
      <c r="AP8" s="11">
        <f t="shared" si="12"/>
        <v>2</v>
      </c>
      <c r="AQ8" s="12"/>
      <c r="AR8" s="11"/>
      <c r="AS8" s="11">
        <f t="shared" si="13"/>
        <v>2</v>
      </c>
      <c r="AT8" s="12"/>
      <c r="AU8" s="11"/>
      <c r="AV8" s="11">
        <f t="shared" si="14"/>
        <v>2</v>
      </c>
      <c r="AW8" s="12"/>
      <c r="AX8" s="11"/>
      <c r="AY8" s="11">
        <f t="shared" si="15"/>
        <v>2</v>
      </c>
      <c r="AZ8" s="12"/>
      <c r="BA8" s="11"/>
      <c r="BB8" s="11">
        <f t="shared" si="16"/>
        <v>2</v>
      </c>
      <c r="BC8" s="12"/>
      <c r="BD8" s="11"/>
      <c r="BE8" s="11">
        <f t="shared" si="17"/>
        <v>2</v>
      </c>
      <c r="BF8" s="12"/>
      <c r="BG8" s="11"/>
      <c r="BH8" s="11">
        <f t="shared" si="18"/>
        <v>2</v>
      </c>
      <c r="BI8" s="12"/>
      <c r="BJ8" s="11"/>
      <c r="BK8" s="11">
        <f t="shared" si="19"/>
        <v>2</v>
      </c>
      <c r="BL8" s="12"/>
      <c r="BM8" s="11"/>
      <c r="BN8" s="11">
        <f t="shared" si="20"/>
        <v>2</v>
      </c>
      <c r="BO8" s="12"/>
      <c r="BP8" s="16">
        <f t="shared" si="21"/>
        <v>0</v>
      </c>
      <c r="BQ8" s="16">
        <f t="shared" si="22"/>
        <v>2</v>
      </c>
    </row>
    <row r="9">
      <c r="A9" s="1"/>
      <c r="B9" s="13" t="s">
        <v>44</v>
      </c>
      <c r="C9" s="13" t="s">
        <v>49</v>
      </c>
      <c r="D9" s="17" t="s">
        <v>63</v>
      </c>
      <c r="E9" s="14" t="s">
        <v>51</v>
      </c>
      <c r="F9" s="13" t="s">
        <v>52</v>
      </c>
      <c r="G9" s="13">
        <v>1.0</v>
      </c>
      <c r="H9" s="11"/>
      <c r="I9" s="11">
        <f t="shared" si="1"/>
        <v>1</v>
      </c>
      <c r="J9" s="12"/>
      <c r="K9" s="11"/>
      <c r="L9" s="11">
        <f t="shared" si="2"/>
        <v>1</v>
      </c>
      <c r="M9" s="12"/>
      <c r="N9" s="11"/>
      <c r="O9" s="11">
        <f t="shared" si="3"/>
        <v>1</v>
      </c>
      <c r="P9" s="12"/>
      <c r="Q9" s="11"/>
      <c r="R9" s="11">
        <f t="shared" si="4"/>
        <v>1</v>
      </c>
      <c r="S9" s="12"/>
      <c r="T9" s="11"/>
      <c r="U9" s="11">
        <f t="shared" si="5"/>
        <v>1</v>
      </c>
      <c r="V9" s="12"/>
      <c r="W9" s="11"/>
      <c r="X9" s="11">
        <f t="shared" si="6"/>
        <v>1</v>
      </c>
      <c r="Y9" s="12"/>
      <c r="Z9" s="11"/>
      <c r="AA9" s="11">
        <f t="shared" si="7"/>
        <v>1</v>
      </c>
      <c r="AB9" s="12"/>
      <c r="AC9" s="11"/>
      <c r="AD9" s="11">
        <f t="shared" si="8"/>
        <v>1</v>
      </c>
      <c r="AE9" s="12"/>
      <c r="AF9" s="11"/>
      <c r="AG9" s="11">
        <f t="shared" si="9"/>
        <v>1</v>
      </c>
      <c r="AH9" s="12"/>
      <c r="AI9" s="11"/>
      <c r="AJ9" s="11">
        <f t="shared" si="10"/>
        <v>1</v>
      </c>
      <c r="AK9" s="12"/>
      <c r="AL9" s="11"/>
      <c r="AM9" s="11">
        <f t="shared" si="11"/>
        <v>1</v>
      </c>
      <c r="AN9" s="12"/>
      <c r="AO9" s="11"/>
      <c r="AP9" s="11">
        <f t="shared" si="12"/>
        <v>1</v>
      </c>
      <c r="AQ9" s="12"/>
      <c r="AR9" s="11"/>
      <c r="AS9" s="11">
        <f t="shared" si="13"/>
        <v>1</v>
      </c>
      <c r="AT9" s="12"/>
      <c r="AU9" s="11"/>
      <c r="AV9" s="11">
        <f t="shared" si="14"/>
        <v>1</v>
      </c>
      <c r="AW9" s="12"/>
      <c r="AX9" s="11"/>
      <c r="AY9" s="11">
        <f t="shared" si="15"/>
        <v>1</v>
      </c>
      <c r="AZ9" s="12"/>
      <c r="BA9" s="11"/>
      <c r="BB9" s="11">
        <f t="shared" si="16"/>
        <v>1</v>
      </c>
      <c r="BC9" s="12"/>
      <c r="BD9" s="11"/>
      <c r="BE9" s="11">
        <f t="shared" si="17"/>
        <v>1</v>
      </c>
      <c r="BF9" s="12"/>
      <c r="BG9" s="11"/>
      <c r="BH9" s="11">
        <f t="shared" si="18"/>
        <v>1</v>
      </c>
      <c r="BI9" s="12"/>
      <c r="BJ9" s="11"/>
      <c r="BK9" s="11">
        <f t="shared" si="19"/>
        <v>1</v>
      </c>
      <c r="BL9" s="12"/>
      <c r="BM9" s="11"/>
      <c r="BN9" s="11">
        <f t="shared" si="20"/>
        <v>1</v>
      </c>
      <c r="BO9" s="12"/>
      <c r="BP9" s="16">
        <f t="shared" si="21"/>
        <v>0</v>
      </c>
      <c r="BQ9" s="16">
        <f t="shared" si="22"/>
        <v>1</v>
      </c>
    </row>
    <row r="10">
      <c r="A10" s="1"/>
      <c r="B10" s="13" t="s">
        <v>44</v>
      </c>
      <c r="C10" s="13" t="s">
        <v>49</v>
      </c>
      <c r="D10" s="17" t="s">
        <v>65</v>
      </c>
      <c r="E10" s="14" t="s">
        <v>51</v>
      </c>
      <c r="F10" s="13" t="s">
        <v>52</v>
      </c>
      <c r="G10" s="5"/>
      <c r="H10" s="11"/>
      <c r="I10" s="11">
        <f t="shared" si="1"/>
        <v>0</v>
      </c>
      <c r="J10" s="12"/>
      <c r="K10" s="11"/>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6">
        <f t="shared" si="21"/>
        <v>0</v>
      </c>
      <c r="BQ10" s="16">
        <f t="shared" si="22"/>
        <v>0</v>
      </c>
    </row>
    <row r="11">
      <c r="A11" s="1"/>
      <c r="B11" s="13" t="s">
        <v>66</v>
      </c>
      <c r="C11" s="13" t="s">
        <v>67</v>
      </c>
      <c r="D11" s="17" t="s">
        <v>68</v>
      </c>
      <c r="E11" s="14" t="s">
        <v>51</v>
      </c>
      <c r="F11" s="13" t="s">
        <v>52</v>
      </c>
      <c r="G11" s="13">
        <v>1.0</v>
      </c>
      <c r="H11" s="11"/>
      <c r="I11" s="11">
        <f t="shared" si="1"/>
        <v>1</v>
      </c>
      <c r="J11" s="12"/>
      <c r="K11" s="11"/>
      <c r="L11" s="11">
        <f t="shared" si="2"/>
        <v>1</v>
      </c>
      <c r="M11" s="12"/>
      <c r="N11" s="11"/>
      <c r="O11" s="11">
        <f t="shared" si="3"/>
        <v>1</v>
      </c>
      <c r="P11" s="12"/>
      <c r="Q11" s="11"/>
      <c r="R11" s="11">
        <f t="shared" si="4"/>
        <v>1</v>
      </c>
      <c r="S11" s="12"/>
      <c r="T11" s="11"/>
      <c r="U11" s="11">
        <f t="shared" si="5"/>
        <v>1</v>
      </c>
      <c r="V11" s="12"/>
      <c r="W11" s="11"/>
      <c r="X11" s="11">
        <f t="shared" si="6"/>
        <v>1</v>
      </c>
      <c r="Y11" s="12"/>
      <c r="Z11" s="11"/>
      <c r="AA11" s="11">
        <f t="shared" si="7"/>
        <v>1</v>
      </c>
      <c r="AB11" s="12"/>
      <c r="AC11" s="11"/>
      <c r="AD11" s="11">
        <f t="shared" si="8"/>
        <v>1</v>
      </c>
      <c r="AE11" s="12"/>
      <c r="AF11" s="11"/>
      <c r="AG11" s="11">
        <f t="shared" si="9"/>
        <v>1</v>
      </c>
      <c r="AH11" s="12"/>
      <c r="AI11" s="11"/>
      <c r="AJ11" s="11">
        <f t="shared" si="10"/>
        <v>1</v>
      </c>
      <c r="AK11" s="12"/>
      <c r="AL11" s="11"/>
      <c r="AM11" s="11">
        <f t="shared" si="11"/>
        <v>1</v>
      </c>
      <c r="AN11" s="12"/>
      <c r="AO11" s="11"/>
      <c r="AP11" s="11">
        <f t="shared" si="12"/>
        <v>1</v>
      </c>
      <c r="AQ11" s="12"/>
      <c r="AR11" s="11"/>
      <c r="AS11" s="11">
        <f t="shared" si="13"/>
        <v>1</v>
      </c>
      <c r="AT11" s="12"/>
      <c r="AU11" s="11"/>
      <c r="AV11" s="11">
        <f t="shared" si="14"/>
        <v>1</v>
      </c>
      <c r="AW11" s="12"/>
      <c r="AX11" s="11"/>
      <c r="AY11" s="11">
        <f t="shared" si="15"/>
        <v>1</v>
      </c>
      <c r="AZ11" s="12"/>
      <c r="BA11" s="11"/>
      <c r="BB11" s="11">
        <f t="shared" si="16"/>
        <v>1</v>
      </c>
      <c r="BC11" s="12"/>
      <c r="BD11" s="11"/>
      <c r="BE11" s="11">
        <f t="shared" si="17"/>
        <v>1</v>
      </c>
      <c r="BF11" s="12"/>
      <c r="BG11" s="11"/>
      <c r="BH11" s="11">
        <f t="shared" si="18"/>
        <v>1</v>
      </c>
      <c r="BI11" s="12"/>
      <c r="BJ11" s="11"/>
      <c r="BK11" s="11">
        <f t="shared" si="19"/>
        <v>1</v>
      </c>
      <c r="BL11" s="12"/>
      <c r="BM11" s="11"/>
      <c r="BN11" s="11">
        <f t="shared" si="20"/>
        <v>1</v>
      </c>
      <c r="BO11" s="12"/>
      <c r="BP11" s="16">
        <f t="shared" si="21"/>
        <v>0</v>
      </c>
      <c r="BQ11" s="16">
        <f t="shared" si="22"/>
        <v>1</v>
      </c>
    </row>
    <row r="12">
      <c r="A12" s="1"/>
      <c r="B12" s="13" t="s">
        <v>66</v>
      </c>
      <c r="C12" s="13" t="s">
        <v>67</v>
      </c>
      <c r="D12" s="17" t="s">
        <v>69</v>
      </c>
      <c r="E12" s="14" t="s">
        <v>51</v>
      </c>
      <c r="F12" s="13" t="s">
        <v>52</v>
      </c>
      <c r="G12" s="13" t="s">
        <v>70</v>
      </c>
      <c r="H12" s="11"/>
      <c r="I12" s="11" t="str">
        <f t="shared" si="1"/>
        <v>#VALUE!</v>
      </c>
      <c r="J12" s="12"/>
      <c r="K12" s="11"/>
      <c r="L12" s="11" t="str">
        <f t="shared" si="2"/>
        <v>#VALUE!</v>
      </c>
      <c r="M12" s="12"/>
      <c r="N12" s="11"/>
      <c r="O12" s="11" t="str">
        <f t="shared" si="3"/>
        <v>#VALUE!</v>
      </c>
      <c r="P12" s="12"/>
      <c r="Q12" s="11"/>
      <c r="R12" s="11" t="str">
        <f t="shared" si="4"/>
        <v>#VALUE!</v>
      </c>
      <c r="S12" s="12"/>
      <c r="T12" s="11"/>
      <c r="U12" s="11" t="str">
        <f t="shared" si="5"/>
        <v>#VALUE!</v>
      </c>
      <c r="V12" s="12"/>
      <c r="W12" s="11"/>
      <c r="X12" s="11" t="str">
        <f t="shared" si="6"/>
        <v>#VALUE!</v>
      </c>
      <c r="Y12" s="12"/>
      <c r="Z12" s="11"/>
      <c r="AA12" s="11" t="str">
        <f t="shared" si="7"/>
        <v>#VALUE!</v>
      </c>
      <c r="AB12" s="12"/>
      <c r="AC12" s="11"/>
      <c r="AD12" s="11" t="str">
        <f t="shared" si="8"/>
        <v>#VALUE!</v>
      </c>
      <c r="AE12" s="12"/>
      <c r="AF12" s="11"/>
      <c r="AG12" s="11" t="str">
        <f t="shared" si="9"/>
        <v>#VALUE!</v>
      </c>
      <c r="AH12" s="12"/>
      <c r="AI12" s="11"/>
      <c r="AJ12" s="11" t="str">
        <f t="shared" si="10"/>
        <v>#VALUE!</v>
      </c>
      <c r="AK12" s="12"/>
      <c r="AL12" s="11"/>
      <c r="AM12" s="11" t="str">
        <f t="shared" si="11"/>
        <v>#VALUE!</v>
      </c>
      <c r="AN12" s="12"/>
      <c r="AO12" s="11"/>
      <c r="AP12" s="11" t="str">
        <f t="shared" si="12"/>
        <v>#VALUE!</v>
      </c>
      <c r="AQ12" s="12"/>
      <c r="AR12" s="11"/>
      <c r="AS12" s="11" t="str">
        <f t="shared" si="13"/>
        <v>#VALUE!</v>
      </c>
      <c r="AT12" s="12"/>
      <c r="AU12" s="11"/>
      <c r="AV12" s="11" t="str">
        <f t="shared" si="14"/>
        <v>#VALUE!</v>
      </c>
      <c r="AW12" s="12"/>
      <c r="AX12" s="11"/>
      <c r="AY12" s="11" t="str">
        <f t="shared" si="15"/>
        <v>#VALUE!</v>
      </c>
      <c r="AZ12" s="12"/>
      <c r="BA12" s="11"/>
      <c r="BB12" s="11" t="str">
        <f t="shared" si="16"/>
        <v>#VALUE!</v>
      </c>
      <c r="BC12" s="12"/>
      <c r="BD12" s="11"/>
      <c r="BE12" s="11" t="str">
        <f t="shared" si="17"/>
        <v>#VALUE!</v>
      </c>
      <c r="BF12" s="12"/>
      <c r="BG12" s="11"/>
      <c r="BH12" s="11" t="str">
        <f t="shared" si="18"/>
        <v>#VALUE!</v>
      </c>
      <c r="BI12" s="12"/>
      <c r="BJ12" s="11"/>
      <c r="BK12" s="11" t="str">
        <f t="shared" si="19"/>
        <v>#VALUE!</v>
      </c>
      <c r="BL12" s="12"/>
      <c r="BM12" s="11"/>
      <c r="BN12" s="11" t="str">
        <f t="shared" si="20"/>
        <v>#VALUE!</v>
      </c>
      <c r="BO12" s="12"/>
      <c r="BP12" s="16">
        <f t="shared" si="21"/>
        <v>0</v>
      </c>
      <c r="BQ12" s="16" t="str">
        <f t="shared" si="22"/>
        <v>#VALUE!</v>
      </c>
    </row>
    <row r="13">
      <c r="A13" s="1"/>
      <c r="B13" s="13" t="s">
        <v>66</v>
      </c>
      <c r="C13" s="13" t="s">
        <v>67</v>
      </c>
      <c r="D13" s="17" t="s">
        <v>71</v>
      </c>
      <c r="E13" s="14" t="s">
        <v>51</v>
      </c>
      <c r="F13" s="13" t="s">
        <v>52</v>
      </c>
      <c r="G13" s="13">
        <v>2.0</v>
      </c>
      <c r="H13" s="11"/>
      <c r="I13" s="11">
        <f t="shared" si="1"/>
        <v>2</v>
      </c>
      <c r="J13" s="12"/>
      <c r="K13" s="11"/>
      <c r="L13" s="11">
        <f t="shared" si="2"/>
        <v>2</v>
      </c>
      <c r="M13" s="12"/>
      <c r="N13" s="11"/>
      <c r="O13" s="11">
        <f t="shared" si="3"/>
        <v>2</v>
      </c>
      <c r="P13" s="12"/>
      <c r="Q13" s="11"/>
      <c r="R13" s="11">
        <f t="shared" si="4"/>
        <v>2</v>
      </c>
      <c r="S13" s="12"/>
      <c r="T13" s="11"/>
      <c r="U13" s="11">
        <f t="shared" si="5"/>
        <v>2</v>
      </c>
      <c r="V13" s="12"/>
      <c r="W13" s="11"/>
      <c r="X13" s="11">
        <f t="shared" si="6"/>
        <v>2</v>
      </c>
      <c r="Y13" s="12"/>
      <c r="Z13" s="11"/>
      <c r="AA13" s="11">
        <f t="shared" si="7"/>
        <v>2</v>
      </c>
      <c r="AB13" s="12"/>
      <c r="AC13" s="11"/>
      <c r="AD13" s="11">
        <f t="shared" si="8"/>
        <v>2</v>
      </c>
      <c r="AE13" s="12"/>
      <c r="AF13" s="11"/>
      <c r="AG13" s="11">
        <f t="shared" si="9"/>
        <v>2</v>
      </c>
      <c r="AH13" s="12"/>
      <c r="AI13" s="11"/>
      <c r="AJ13" s="11">
        <f t="shared" si="10"/>
        <v>2</v>
      </c>
      <c r="AK13" s="12"/>
      <c r="AL13" s="11"/>
      <c r="AM13" s="11">
        <f t="shared" si="11"/>
        <v>2</v>
      </c>
      <c r="AN13" s="12"/>
      <c r="AO13" s="11"/>
      <c r="AP13" s="11">
        <f t="shared" si="12"/>
        <v>2</v>
      </c>
      <c r="AQ13" s="12"/>
      <c r="AR13" s="11"/>
      <c r="AS13" s="11">
        <f t="shared" si="13"/>
        <v>2</v>
      </c>
      <c r="AT13" s="12"/>
      <c r="AU13" s="11"/>
      <c r="AV13" s="11">
        <f t="shared" si="14"/>
        <v>2</v>
      </c>
      <c r="AW13" s="12"/>
      <c r="AX13" s="11"/>
      <c r="AY13" s="11">
        <f t="shared" si="15"/>
        <v>2</v>
      </c>
      <c r="AZ13" s="12"/>
      <c r="BA13" s="11"/>
      <c r="BB13" s="11">
        <f t="shared" si="16"/>
        <v>2</v>
      </c>
      <c r="BC13" s="12"/>
      <c r="BD13" s="11"/>
      <c r="BE13" s="11">
        <f t="shared" si="17"/>
        <v>2</v>
      </c>
      <c r="BF13" s="12"/>
      <c r="BG13" s="11"/>
      <c r="BH13" s="11">
        <f t="shared" si="18"/>
        <v>2</v>
      </c>
      <c r="BI13" s="12"/>
      <c r="BJ13" s="11"/>
      <c r="BK13" s="11">
        <f t="shared" si="19"/>
        <v>2</v>
      </c>
      <c r="BL13" s="12"/>
      <c r="BM13" s="11"/>
      <c r="BN13" s="11">
        <f t="shared" si="20"/>
        <v>2</v>
      </c>
      <c r="BO13" s="12"/>
      <c r="BP13" s="16">
        <f t="shared" si="21"/>
        <v>0</v>
      </c>
      <c r="BQ13" s="16">
        <f t="shared" si="22"/>
        <v>2</v>
      </c>
    </row>
    <row r="14">
      <c r="A14" s="1"/>
      <c r="B14" s="13" t="s">
        <v>72</v>
      </c>
      <c r="C14" s="13" t="s">
        <v>73</v>
      </c>
      <c r="D14" s="17" t="s">
        <v>74</v>
      </c>
      <c r="E14" s="14" t="s">
        <v>51</v>
      </c>
      <c r="F14" s="13" t="s">
        <v>52</v>
      </c>
      <c r="G14" s="13">
        <v>1.0</v>
      </c>
      <c r="H14" s="11"/>
      <c r="I14" s="11">
        <f t="shared" si="1"/>
        <v>1</v>
      </c>
      <c r="J14" s="12"/>
      <c r="K14" s="11"/>
      <c r="L14" s="11">
        <f t="shared" si="2"/>
        <v>1</v>
      </c>
      <c r="M14" s="12"/>
      <c r="N14" s="11"/>
      <c r="O14" s="11">
        <f t="shared" si="3"/>
        <v>1</v>
      </c>
      <c r="P14" s="12"/>
      <c r="Q14" s="11"/>
      <c r="R14" s="11">
        <f t="shared" si="4"/>
        <v>1</v>
      </c>
      <c r="S14" s="12"/>
      <c r="T14" s="11"/>
      <c r="U14" s="11">
        <f t="shared" si="5"/>
        <v>1</v>
      </c>
      <c r="V14" s="12"/>
      <c r="W14" s="11"/>
      <c r="X14" s="11">
        <f t="shared" si="6"/>
        <v>1</v>
      </c>
      <c r="Y14" s="12"/>
      <c r="Z14" s="11"/>
      <c r="AA14" s="11">
        <f t="shared" si="7"/>
        <v>1</v>
      </c>
      <c r="AB14" s="12"/>
      <c r="AC14" s="11"/>
      <c r="AD14" s="11">
        <f t="shared" si="8"/>
        <v>1</v>
      </c>
      <c r="AE14" s="12"/>
      <c r="AF14" s="11"/>
      <c r="AG14" s="11">
        <f t="shared" si="9"/>
        <v>1</v>
      </c>
      <c r="AH14" s="12"/>
      <c r="AI14" s="11"/>
      <c r="AJ14" s="11">
        <f t="shared" si="10"/>
        <v>1</v>
      </c>
      <c r="AK14" s="12"/>
      <c r="AL14" s="11"/>
      <c r="AM14" s="11">
        <f t="shared" si="11"/>
        <v>1</v>
      </c>
      <c r="AN14" s="12"/>
      <c r="AO14" s="11"/>
      <c r="AP14" s="11">
        <f t="shared" si="12"/>
        <v>1</v>
      </c>
      <c r="AQ14" s="12"/>
      <c r="AR14" s="11"/>
      <c r="AS14" s="11">
        <f t="shared" si="13"/>
        <v>1</v>
      </c>
      <c r="AT14" s="12"/>
      <c r="AU14" s="11"/>
      <c r="AV14" s="11">
        <f t="shared" si="14"/>
        <v>1</v>
      </c>
      <c r="AW14" s="12"/>
      <c r="AX14" s="11"/>
      <c r="AY14" s="11">
        <f t="shared" si="15"/>
        <v>1</v>
      </c>
      <c r="AZ14" s="12"/>
      <c r="BA14" s="11"/>
      <c r="BB14" s="11">
        <f t="shared" si="16"/>
        <v>1</v>
      </c>
      <c r="BC14" s="12"/>
      <c r="BD14" s="11"/>
      <c r="BE14" s="11">
        <f t="shared" si="17"/>
        <v>1</v>
      </c>
      <c r="BF14" s="12"/>
      <c r="BG14" s="11"/>
      <c r="BH14" s="11">
        <f t="shared" si="18"/>
        <v>1</v>
      </c>
      <c r="BI14" s="12"/>
      <c r="BJ14" s="11"/>
      <c r="BK14" s="11">
        <f t="shared" si="19"/>
        <v>1</v>
      </c>
      <c r="BL14" s="12"/>
      <c r="BM14" s="11"/>
      <c r="BN14" s="11">
        <f t="shared" si="20"/>
        <v>1</v>
      </c>
      <c r="BO14" s="12"/>
      <c r="BP14" s="16">
        <f t="shared" si="21"/>
        <v>0</v>
      </c>
      <c r="BQ14" s="16">
        <f t="shared" si="22"/>
        <v>1</v>
      </c>
    </row>
    <row r="15">
      <c r="A15" s="1"/>
      <c r="B15" s="13" t="s">
        <v>75</v>
      </c>
      <c r="C15" s="5"/>
      <c r="D15" s="17" t="s">
        <v>76</v>
      </c>
      <c r="E15" s="14" t="s">
        <v>51</v>
      </c>
      <c r="F15" s="13" t="s">
        <v>52</v>
      </c>
      <c r="G15" s="5"/>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6">
        <f t="shared" si="21"/>
        <v>0</v>
      </c>
      <c r="BQ15" s="16">
        <f t="shared" si="22"/>
        <v>0</v>
      </c>
    </row>
    <row r="16">
      <c r="A16" s="1"/>
      <c r="B16" s="13" t="s">
        <v>75</v>
      </c>
      <c r="C16" s="13" t="s">
        <v>77</v>
      </c>
      <c r="D16" s="17" t="s">
        <v>78</v>
      </c>
      <c r="E16" s="14" t="s">
        <v>51</v>
      </c>
      <c r="F16" s="13" t="s">
        <v>52</v>
      </c>
      <c r="G16" s="13">
        <v>1.0</v>
      </c>
      <c r="H16" s="11"/>
      <c r="I16" s="11">
        <f t="shared" si="1"/>
        <v>1</v>
      </c>
      <c r="J16" s="12"/>
      <c r="K16" s="11"/>
      <c r="L16" s="11">
        <f t="shared" si="2"/>
        <v>1</v>
      </c>
      <c r="M16" s="12"/>
      <c r="N16" s="11"/>
      <c r="O16" s="11">
        <f t="shared" si="3"/>
        <v>1</v>
      </c>
      <c r="P16" s="12"/>
      <c r="Q16" s="11"/>
      <c r="R16" s="11">
        <f t="shared" si="4"/>
        <v>1</v>
      </c>
      <c r="S16" s="12"/>
      <c r="T16" s="11"/>
      <c r="U16" s="11">
        <f t="shared" si="5"/>
        <v>1</v>
      </c>
      <c r="V16" s="12"/>
      <c r="W16" s="11"/>
      <c r="X16" s="11">
        <f t="shared" si="6"/>
        <v>1</v>
      </c>
      <c r="Y16" s="12"/>
      <c r="Z16" s="11"/>
      <c r="AA16" s="11">
        <f t="shared" si="7"/>
        <v>1</v>
      </c>
      <c r="AB16" s="12"/>
      <c r="AC16" s="11"/>
      <c r="AD16" s="11">
        <f t="shared" si="8"/>
        <v>1</v>
      </c>
      <c r="AE16" s="12"/>
      <c r="AF16" s="11"/>
      <c r="AG16" s="11">
        <f t="shared" si="9"/>
        <v>1</v>
      </c>
      <c r="AH16" s="12"/>
      <c r="AI16" s="11"/>
      <c r="AJ16" s="11">
        <f t="shared" si="10"/>
        <v>1</v>
      </c>
      <c r="AK16" s="12"/>
      <c r="AL16" s="11"/>
      <c r="AM16" s="11">
        <f t="shared" si="11"/>
        <v>1</v>
      </c>
      <c r="AN16" s="12"/>
      <c r="AO16" s="11"/>
      <c r="AP16" s="11">
        <f t="shared" si="12"/>
        <v>1</v>
      </c>
      <c r="AQ16" s="12"/>
      <c r="AR16" s="11"/>
      <c r="AS16" s="11">
        <f t="shared" si="13"/>
        <v>1</v>
      </c>
      <c r="AT16" s="12"/>
      <c r="AU16" s="11"/>
      <c r="AV16" s="11">
        <f t="shared" si="14"/>
        <v>1</v>
      </c>
      <c r="AW16" s="12"/>
      <c r="AX16" s="11"/>
      <c r="AY16" s="11">
        <f t="shared" si="15"/>
        <v>1</v>
      </c>
      <c r="AZ16" s="12"/>
      <c r="BA16" s="11"/>
      <c r="BB16" s="11">
        <f t="shared" si="16"/>
        <v>1</v>
      </c>
      <c r="BC16" s="12"/>
      <c r="BD16" s="11"/>
      <c r="BE16" s="11">
        <f t="shared" si="17"/>
        <v>1</v>
      </c>
      <c r="BF16" s="12"/>
      <c r="BG16" s="11"/>
      <c r="BH16" s="11">
        <f t="shared" si="18"/>
        <v>1</v>
      </c>
      <c r="BI16" s="12"/>
      <c r="BJ16" s="11"/>
      <c r="BK16" s="11">
        <f t="shared" si="19"/>
        <v>1</v>
      </c>
      <c r="BL16" s="12"/>
      <c r="BM16" s="11"/>
      <c r="BN16" s="11">
        <f t="shared" si="20"/>
        <v>1</v>
      </c>
      <c r="BO16" s="12"/>
      <c r="BP16" s="16">
        <f t="shared" si="21"/>
        <v>0</v>
      </c>
      <c r="BQ16" s="16">
        <f t="shared" si="22"/>
        <v>1</v>
      </c>
    </row>
    <row r="17">
      <c r="A17" s="1"/>
      <c r="B17" s="5"/>
      <c r="C17" s="5"/>
      <c r="D17" s="5"/>
      <c r="E17" s="5"/>
      <c r="F17" s="5"/>
      <c r="G17" s="5"/>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6">
        <f t="shared" si="21"/>
        <v>0</v>
      </c>
      <c r="BQ17" s="16">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8</v>
      </c>
      <c r="I4" s="7"/>
      <c r="J4" s="8"/>
      <c r="K4" s="6" t="s">
        <v>11</v>
      </c>
      <c r="L4" s="7"/>
      <c r="M4" s="8"/>
      <c r="N4" s="6" t="s">
        <v>12</v>
      </c>
      <c r="O4" s="7"/>
      <c r="P4" s="8"/>
      <c r="Q4" s="6" t="s">
        <v>13</v>
      </c>
      <c r="R4" s="7"/>
      <c r="S4" s="8"/>
      <c r="T4" s="6" t="s">
        <v>14</v>
      </c>
      <c r="U4" s="7"/>
      <c r="V4" s="8"/>
      <c r="W4" s="6" t="s">
        <v>15</v>
      </c>
      <c r="X4" s="7"/>
      <c r="Y4" s="8"/>
      <c r="Z4" s="6" t="s">
        <v>16</v>
      </c>
      <c r="AA4" s="7"/>
      <c r="AB4" s="8"/>
      <c r="AC4" s="6" t="s">
        <v>18</v>
      </c>
      <c r="AD4" s="7"/>
      <c r="AE4" s="8"/>
      <c r="AF4" s="6" t="s">
        <v>20</v>
      </c>
      <c r="AG4" s="7"/>
      <c r="AH4" s="8"/>
      <c r="AI4" s="6" t="s">
        <v>21</v>
      </c>
      <c r="AJ4" s="7"/>
      <c r="AK4" s="8"/>
      <c r="AL4" s="6" t="s">
        <v>22</v>
      </c>
      <c r="AM4" s="7"/>
      <c r="AN4" s="8"/>
      <c r="AO4" s="6" t="s">
        <v>23</v>
      </c>
      <c r="AP4" s="7"/>
      <c r="AQ4" s="8"/>
      <c r="AR4" s="6" t="s">
        <v>24</v>
      </c>
      <c r="AS4" s="7"/>
      <c r="AT4" s="8"/>
      <c r="AU4" s="6" t="s">
        <v>25</v>
      </c>
      <c r="AV4" s="7"/>
      <c r="AW4" s="8"/>
      <c r="AX4" s="6" t="s">
        <v>26</v>
      </c>
      <c r="AY4" s="7"/>
      <c r="AZ4" s="8"/>
      <c r="BA4" s="6" t="s">
        <v>27</v>
      </c>
      <c r="BB4" s="7"/>
      <c r="BC4" s="8"/>
      <c r="BD4" s="6" t="s">
        <v>29</v>
      </c>
      <c r="BE4" s="7"/>
      <c r="BF4" s="8"/>
      <c r="BG4" s="6" t="s">
        <v>31</v>
      </c>
      <c r="BH4" s="7"/>
      <c r="BI4" s="8"/>
      <c r="BJ4" s="6" t="s">
        <v>32</v>
      </c>
      <c r="BK4" s="7"/>
      <c r="BL4" s="8"/>
      <c r="BM4" s="6" t="s">
        <v>33</v>
      </c>
      <c r="BN4" s="7"/>
      <c r="BO4" s="8"/>
      <c r="BP4" s="6" t="s">
        <v>34</v>
      </c>
      <c r="BQ4" s="7"/>
    </row>
    <row r="5">
      <c r="A5" s="1"/>
      <c r="B5" s="9" t="s">
        <v>35</v>
      </c>
      <c r="C5" s="9" t="s">
        <v>37</v>
      </c>
      <c r="D5" s="9" t="s">
        <v>9</v>
      </c>
      <c r="E5" s="9" t="s">
        <v>17</v>
      </c>
      <c r="F5" s="9" t="s">
        <v>28</v>
      </c>
      <c r="G5" s="9" t="s">
        <v>36</v>
      </c>
      <c r="H5" s="10" t="s">
        <v>39</v>
      </c>
      <c r="I5" s="10" t="s">
        <v>40</v>
      </c>
      <c r="J5" s="10"/>
      <c r="K5" s="10" t="s">
        <v>39</v>
      </c>
      <c r="L5" s="10" t="s">
        <v>40</v>
      </c>
      <c r="M5" s="10"/>
      <c r="N5" s="10" t="s">
        <v>39</v>
      </c>
      <c r="O5" s="10" t="s">
        <v>40</v>
      </c>
      <c r="P5" s="10"/>
      <c r="Q5" s="10" t="s">
        <v>39</v>
      </c>
      <c r="R5" s="10" t="s">
        <v>40</v>
      </c>
      <c r="S5" s="10"/>
      <c r="T5" s="10" t="s">
        <v>39</v>
      </c>
      <c r="U5" s="10" t="s">
        <v>40</v>
      </c>
      <c r="V5" s="10"/>
      <c r="W5" s="10" t="s">
        <v>39</v>
      </c>
      <c r="X5" s="10" t="s">
        <v>40</v>
      </c>
      <c r="Y5" s="10"/>
      <c r="Z5" s="10" t="s">
        <v>39</v>
      </c>
      <c r="AA5" s="10" t="s">
        <v>40</v>
      </c>
      <c r="AB5" s="10"/>
      <c r="AC5" s="10" t="s">
        <v>39</v>
      </c>
      <c r="AD5" s="10" t="s">
        <v>40</v>
      </c>
      <c r="AE5" s="10"/>
      <c r="AF5" s="10" t="s">
        <v>39</v>
      </c>
      <c r="AG5" s="10" t="s">
        <v>40</v>
      </c>
      <c r="AH5" s="10"/>
      <c r="AI5" s="10" t="s">
        <v>39</v>
      </c>
      <c r="AJ5" s="10" t="s">
        <v>40</v>
      </c>
      <c r="AK5" s="10"/>
      <c r="AL5" s="10" t="s">
        <v>39</v>
      </c>
      <c r="AM5" s="10" t="s">
        <v>40</v>
      </c>
      <c r="AN5" s="10"/>
      <c r="AO5" s="10" t="s">
        <v>39</v>
      </c>
      <c r="AP5" s="10" t="s">
        <v>40</v>
      </c>
      <c r="AQ5" s="10"/>
      <c r="AR5" s="10" t="s">
        <v>39</v>
      </c>
      <c r="AS5" s="10" t="s">
        <v>40</v>
      </c>
      <c r="AT5" s="10"/>
      <c r="AU5" s="10" t="s">
        <v>39</v>
      </c>
      <c r="AV5" s="10" t="s">
        <v>40</v>
      </c>
      <c r="AW5" s="10"/>
      <c r="AX5" s="10" t="s">
        <v>39</v>
      </c>
      <c r="AY5" s="10" t="s">
        <v>40</v>
      </c>
      <c r="AZ5" s="10"/>
      <c r="BA5" s="10" t="s">
        <v>39</v>
      </c>
      <c r="BB5" s="10" t="s">
        <v>40</v>
      </c>
      <c r="BC5" s="10"/>
      <c r="BD5" s="10" t="s">
        <v>39</v>
      </c>
      <c r="BE5" s="10" t="s">
        <v>40</v>
      </c>
      <c r="BF5" s="10"/>
      <c r="BG5" s="10" t="s">
        <v>39</v>
      </c>
      <c r="BH5" s="10" t="s">
        <v>40</v>
      </c>
      <c r="BI5" s="10"/>
      <c r="BJ5" s="10" t="s">
        <v>39</v>
      </c>
      <c r="BK5" s="10" t="s">
        <v>40</v>
      </c>
      <c r="BL5" s="10"/>
      <c r="BM5" s="10" t="s">
        <v>39</v>
      </c>
      <c r="BN5" s="10" t="s">
        <v>40</v>
      </c>
      <c r="BO5" s="10"/>
      <c r="BP5" s="10" t="s">
        <v>39</v>
      </c>
      <c r="BQ5" s="10" t="s">
        <v>40</v>
      </c>
    </row>
    <row r="6">
      <c r="A6" s="1"/>
      <c r="B6" s="5" t="s">
        <v>44</v>
      </c>
      <c r="C6" s="5" t="s">
        <v>45</v>
      </c>
      <c r="D6" s="5" t="s">
        <v>46</v>
      </c>
      <c r="E6" s="5"/>
      <c r="F6" s="5"/>
      <c r="G6" s="5"/>
      <c r="H6" s="11"/>
      <c r="I6" s="11">
        <f t="shared" ref="I6:I17" si="1">G6-H6</f>
        <v>0</v>
      </c>
      <c r="J6" s="12"/>
      <c r="K6" s="11"/>
      <c r="L6" s="11">
        <f t="shared" ref="L6:L17" si="2">I6-K6</f>
        <v>0</v>
      </c>
      <c r="M6" s="12"/>
      <c r="N6" s="11"/>
      <c r="O6" s="11">
        <f t="shared" ref="O6:O17" si="3">L6-N6</f>
        <v>0</v>
      </c>
      <c r="P6" s="12"/>
      <c r="Q6" s="11"/>
      <c r="R6" s="11">
        <f t="shared" ref="R6:R17" si="4">O6-Q6</f>
        <v>0</v>
      </c>
      <c r="S6" s="12"/>
      <c r="T6" s="11"/>
      <c r="U6" s="11">
        <f t="shared" ref="U6:U17" si="5">R6-T6</f>
        <v>0</v>
      </c>
      <c r="V6" s="12"/>
      <c r="W6" s="11"/>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6">
        <f t="shared" ref="BP6:BP17" si="21">H6+K6+N6+Q6+T6+W6+Z6+AC6+AF6+AI6+AL6+AO6+AR6+AU6+AX6+BA6+BD6+BG6+BJ6+BM6</f>
        <v>0</v>
      </c>
      <c r="BQ6" s="16">
        <f t="shared" ref="BQ6:BQ17" si="22">G6-BP6</f>
        <v>0</v>
      </c>
    </row>
    <row r="7">
      <c r="A7" s="1"/>
      <c r="B7" s="5"/>
      <c r="C7" s="5"/>
      <c r="D7" s="5" t="s">
        <v>53</v>
      </c>
      <c r="E7" s="5"/>
      <c r="F7" s="5"/>
      <c r="G7" s="5"/>
      <c r="H7" s="11"/>
      <c r="I7" s="11">
        <f t="shared" si="1"/>
        <v>0</v>
      </c>
      <c r="J7" s="12"/>
      <c r="K7" s="11"/>
      <c r="L7" s="11">
        <f t="shared" si="2"/>
        <v>0</v>
      </c>
      <c r="M7" s="12"/>
      <c r="N7" s="11"/>
      <c r="O7" s="11">
        <f t="shared" si="3"/>
        <v>0</v>
      </c>
      <c r="P7" s="12"/>
      <c r="Q7" s="11"/>
      <c r="R7" s="11">
        <f t="shared" si="4"/>
        <v>0</v>
      </c>
      <c r="S7" s="12"/>
      <c r="T7" s="11"/>
      <c r="U7" s="11">
        <f t="shared" si="5"/>
        <v>0</v>
      </c>
      <c r="V7" s="12"/>
      <c r="W7" s="11"/>
      <c r="X7" s="11">
        <f t="shared" si="6"/>
        <v>0</v>
      </c>
      <c r="Y7" s="12"/>
      <c r="Z7" s="11"/>
      <c r="AA7" s="11">
        <f t="shared" si="7"/>
        <v>0</v>
      </c>
      <c r="AB7" s="12"/>
      <c r="AC7" s="11"/>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6">
        <f t="shared" si="21"/>
        <v>0</v>
      </c>
      <c r="BQ7" s="16">
        <f t="shared" si="22"/>
        <v>0</v>
      </c>
    </row>
    <row r="8">
      <c r="A8" s="1"/>
      <c r="B8" s="5"/>
      <c r="C8" s="5"/>
      <c r="D8" s="5" t="s">
        <v>54</v>
      </c>
      <c r="E8" s="5"/>
      <c r="F8" s="5"/>
      <c r="G8" s="5"/>
      <c r="H8" s="11"/>
      <c r="I8" s="11">
        <f t="shared" si="1"/>
        <v>0</v>
      </c>
      <c r="J8" s="12"/>
      <c r="K8" s="11"/>
      <c r="L8" s="11">
        <f t="shared" si="2"/>
        <v>0</v>
      </c>
      <c r="M8" s="12"/>
      <c r="N8" s="11"/>
      <c r="O8" s="11">
        <f t="shared" si="3"/>
        <v>0</v>
      </c>
      <c r="P8" s="12"/>
      <c r="Q8" s="11"/>
      <c r="R8" s="11">
        <f t="shared" si="4"/>
        <v>0</v>
      </c>
      <c r="S8" s="12"/>
      <c r="T8" s="11"/>
      <c r="U8" s="11">
        <f t="shared" si="5"/>
        <v>0</v>
      </c>
      <c r="V8" s="12"/>
      <c r="W8" s="11"/>
      <c r="X8" s="11">
        <f t="shared" si="6"/>
        <v>0</v>
      </c>
      <c r="Y8" s="12"/>
      <c r="Z8" s="11"/>
      <c r="AA8" s="11">
        <f t="shared" si="7"/>
        <v>0</v>
      </c>
      <c r="AB8" s="12"/>
      <c r="AC8" s="11"/>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6">
        <f t="shared" si="21"/>
        <v>0</v>
      </c>
      <c r="BQ8" s="16">
        <f t="shared" si="22"/>
        <v>0</v>
      </c>
    </row>
    <row r="9">
      <c r="A9" s="1"/>
      <c r="B9" s="5"/>
      <c r="C9" s="5"/>
      <c r="D9" s="5" t="s">
        <v>55</v>
      </c>
      <c r="E9" s="5"/>
      <c r="F9" s="5"/>
      <c r="G9" s="5"/>
      <c r="H9" s="11"/>
      <c r="I9" s="11">
        <f t="shared" si="1"/>
        <v>0</v>
      </c>
      <c r="J9" s="12"/>
      <c r="K9" s="11"/>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6">
        <f t="shared" si="21"/>
        <v>0</v>
      </c>
      <c r="BQ9" s="16">
        <f t="shared" si="22"/>
        <v>0</v>
      </c>
    </row>
    <row r="10">
      <c r="A10" s="1"/>
      <c r="B10" s="5" t="s">
        <v>57</v>
      </c>
      <c r="C10" s="5" t="s">
        <v>58</v>
      </c>
      <c r="D10" s="5" t="s">
        <v>59</v>
      </c>
      <c r="E10" s="5"/>
      <c r="F10" s="5"/>
      <c r="G10" s="5"/>
      <c r="H10" s="11"/>
      <c r="I10" s="11">
        <f t="shared" si="1"/>
        <v>0</v>
      </c>
      <c r="J10" s="12"/>
      <c r="K10" s="11"/>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6">
        <f t="shared" si="21"/>
        <v>0</v>
      </c>
      <c r="BQ10" s="16">
        <f t="shared" si="22"/>
        <v>0</v>
      </c>
    </row>
    <row r="11">
      <c r="A11" s="1"/>
      <c r="B11" s="5"/>
      <c r="C11" s="5"/>
      <c r="D11" s="5" t="s">
        <v>61</v>
      </c>
      <c r="E11" s="5"/>
      <c r="F11" s="5"/>
      <c r="G11" s="5"/>
      <c r="H11" s="11"/>
      <c r="I11" s="11">
        <f t="shared" si="1"/>
        <v>0</v>
      </c>
      <c r="J11" s="12"/>
      <c r="K11" s="11"/>
      <c r="L11" s="11">
        <f t="shared" si="2"/>
        <v>0</v>
      </c>
      <c r="M11" s="12"/>
      <c r="N11" s="11"/>
      <c r="O11" s="11">
        <f t="shared" si="3"/>
        <v>0</v>
      </c>
      <c r="P11" s="12"/>
      <c r="Q11" s="11"/>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6">
        <f t="shared" si="21"/>
        <v>0</v>
      </c>
      <c r="BQ11" s="16">
        <f t="shared" si="22"/>
        <v>0</v>
      </c>
    </row>
    <row r="12">
      <c r="A12" s="1"/>
      <c r="B12" s="5"/>
      <c r="C12" s="5"/>
      <c r="D12" s="5" t="s">
        <v>62</v>
      </c>
      <c r="E12" s="5"/>
      <c r="F12" s="5"/>
      <c r="G12" s="5"/>
      <c r="H12" s="11"/>
      <c r="I12" s="11">
        <f t="shared" si="1"/>
        <v>0</v>
      </c>
      <c r="J12" s="12"/>
      <c r="K12" s="11"/>
      <c r="L12" s="11">
        <f t="shared" si="2"/>
        <v>0</v>
      </c>
      <c r="M12" s="12"/>
      <c r="N12" s="11"/>
      <c r="O12" s="11">
        <f t="shared" si="3"/>
        <v>0</v>
      </c>
      <c r="P12" s="12"/>
      <c r="Q12" s="11"/>
      <c r="R12" s="11">
        <f t="shared" si="4"/>
        <v>0</v>
      </c>
      <c r="S12" s="12"/>
      <c r="T12" s="11"/>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6">
        <f t="shared" si="21"/>
        <v>0</v>
      </c>
      <c r="BQ12" s="16">
        <f t="shared" si="22"/>
        <v>0</v>
      </c>
    </row>
    <row r="13">
      <c r="A13" s="1"/>
      <c r="B13" s="5"/>
      <c r="C13" s="5"/>
      <c r="D13" s="5" t="s">
        <v>64</v>
      </c>
      <c r="E13" s="5"/>
      <c r="F13" s="5"/>
      <c r="G13" s="5"/>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6">
        <f t="shared" si="21"/>
        <v>0</v>
      </c>
      <c r="BQ13" s="16">
        <f t="shared" si="22"/>
        <v>0</v>
      </c>
    </row>
    <row r="14">
      <c r="A14" s="1"/>
      <c r="B14" s="5" t="s">
        <v>57</v>
      </c>
      <c r="C14" s="5" t="s">
        <v>58</v>
      </c>
      <c r="D14" s="5" t="s">
        <v>59</v>
      </c>
      <c r="E14" s="5"/>
      <c r="F14" s="5"/>
      <c r="G14" s="5"/>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6">
        <f t="shared" si="21"/>
        <v>0</v>
      </c>
      <c r="BQ14" s="16">
        <f t="shared" si="22"/>
        <v>0</v>
      </c>
    </row>
    <row r="15">
      <c r="A15" s="1"/>
      <c r="B15" s="5"/>
      <c r="C15" s="5"/>
      <c r="D15" s="5" t="s">
        <v>61</v>
      </c>
      <c r="E15" s="5"/>
      <c r="F15" s="5"/>
      <c r="G15" s="5"/>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6">
        <f t="shared" si="21"/>
        <v>0</v>
      </c>
      <c r="BQ15" s="16">
        <f t="shared" si="22"/>
        <v>0</v>
      </c>
    </row>
    <row r="16">
      <c r="A16" s="1"/>
      <c r="B16" s="5"/>
      <c r="C16" s="5"/>
      <c r="D16" s="5" t="s">
        <v>62</v>
      </c>
      <c r="E16" s="5"/>
      <c r="F16" s="5"/>
      <c r="G16" s="5"/>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6">
        <f t="shared" si="21"/>
        <v>0</v>
      </c>
      <c r="BQ16" s="16">
        <f t="shared" si="22"/>
        <v>0</v>
      </c>
    </row>
    <row r="17">
      <c r="A17" s="1"/>
      <c r="B17" s="5"/>
      <c r="C17" s="5"/>
      <c r="D17" s="5" t="s">
        <v>64</v>
      </c>
      <c r="E17" s="5"/>
      <c r="F17" s="5"/>
      <c r="G17" s="5"/>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6">
        <f t="shared" si="21"/>
        <v>0</v>
      </c>
      <c r="BQ17" s="16">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4</v>
      </c>
      <c r="C4" s="4" t="s">
        <v>5</v>
      </c>
      <c r="D4" s="1"/>
      <c r="E4" s="1"/>
      <c r="F4" s="1"/>
      <c r="G4" s="1"/>
      <c r="H4" s="1"/>
      <c r="I4" s="1"/>
      <c r="J4" s="1"/>
      <c r="K4" s="1"/>
      <c r="L4" s="1"/>
      <c r="M4" s="1"/>
      <c r="N4" s="1"/>
      <c r="O4" s="1"/>
      <c r="P4" s="1"/>
      <c r="Q4" s="1"/>
      <c r="R4" s="1"/>
      <c r="S4" s="1"/>
      <c r="T4" s="1"/>
      <c r="U4" s="1"/>
      <c r="V4" s="1"/>
      <c r="W4" s="1"/>
      <c r="X4" s="1"/>
      <c r="Y4" s="1"/>
      <c r="Z4" s="1"/>
    </row>
    <row r="5">
      <c r="A5" s="1"/>
      <c r="B5" s="5" t="str">
        <f>'Sprint Backlog'!B5</f>
        <v>Identificador (ID) de item de product backlog</v>
      </c>
      <c r="C5" s="5" t="s">
        <v>6</v>
      </c>
      <c r="D5" s="1"/>
      <c r="E5" s="1"/>
      <c r="F5" s="1"/>
      <c r="G5" s="1"/>
      <c r="H5" s="1"/>
      <c r="I5" s="1"/>
      <c r="J5" s="1"/>
      <c r="K5" s="1"/>
      <c r="L5" s="1"/>
      <c r="M5" s="1"/>
      <c r="N5" s="1"/>
      <c r="O5" s="1"/>
      <c r="P5" s="1"/>
      <c r="Q5" s="1"/>
      <c r="R5" s="1"/>
      <c r="S5" s="1"/>
      <c r="T5" s="1"/>
      <c r="U5" s="1"/>
      <c r="V5" s="1"/>
      <c r="W5" s="1"/>
      <c r="X5" s="1"/>
      <c r="Y5" s="1"/>
      <c r="Z5" s="1"/>
    </row>
    <row r="6">
      <c r="A6" s="1"/>
      <c r="B6" s="5" t="str">
        <f>'Sprint Backlog'!C5</f>
        <v>Enunciado del item de Product Backlog</v>
      </c>
      <c r="C6" s="5" t="s">
        <v>7</v>
      </c>
      <c r="D6" s="1"/>
      <c r="E6" s="1"/>
      <c r="F6" s="1"/>
      <c r="G6" s="1"/>
      <c r="H6" s="1"/>
      <c r="I6" s="1"/>
      <c r="J6" s="1"/>
      <c r="K6" s="1"/>
      <c r="L6" s="1"/>
      <c r="M6" s="1"/>
      <c r="N6" s="1"/>
      <c r="O6" s="1"/>
      <c r="P6" s="1"/>
      <c r="Q6" s="1"/>
      <c r="R6" s="1"/>
      <c r="S6" s="1"/>
      <c r="T6" s="1"/>
      <c r="U6" s="1"/>
      <c r="V6" s="1"/>
      <c r="W6" s="1"/>
      <c r="X6" s="1"/>
      <c r="Y6" s="1"/>
      <c r="Z6" s="1"/>
    </row>
    <row r="7">
      <c r="A7" s="1"/>
      <c r="B7" s="5" t="s">
        <v>9</v>
      </c>
      <c r="C7" s="5" t="s">
        <v>10</v>
      </c>
      <c r="D7" s="1"/>
      <c r="E7" s="1"/>
      <c r="F7" s="1"/>
      <c r="G7" s="1"/>
      <c r="H7" s="1"/>
      <c r="I7" s="1"/>
      <c r="J7" s="1"/>
      <c r="K7" s="1"/>
      <c r="L7" s="1"/>
      <c r="M7" s="1"/>
      <c r="N7" s="1"/>
      <c r="O7" s="1"/>
      <c r="P7" s="1"/>
      <c r="Q7" s="1"/>
      <c r="R7" s="1"/>
      <c r="S7" s="1"/>
      <c r="T7" s="1"/>
      <c r="U7" s="1"/>
      <c r="V7" s="1"/>
      <c r="W7" s="1"/>
      <c r="X7" s="1"/>
      <c r="Y7" s="1"/>
      <c r="Z7" s="1"/>
    </row>
    <row r="8">
      <c r="A8" s="1"/>
      <c r="B8" s="5" t="s">
        <v>17</v>
      </c>
      <c r="C8" s="5" t="s">
        <v>19</v>
      </c>
      <c r="D8" s="1"/>
      <c r="E8" s="1"/>
      <c r="F8" s="1"/>
      <c r="G8" s="1"/>
      <c r="H8" s="1"/>
      <c r="I8" s="1"/>
      <c r="J8" s="1"/>
      <c r="K8" s="1"/>
      <c r="L8" s="1"/>
      <c r="M8" s="1"/>
      <c r="N8" s="1"/>
      <c r="O8" s="1"/>
      <c r="P8" s="1"/>
      <c r="Q8" s="1"/>
      <c r="R8" s="1"/>
      <c r="S8" s="1"/>
      <c r="T8" s="1"/>
      <c r="U8" s="1"/>
      <c r="V8" s="1"/>
      <c r="W8" s="1"/>
      <c r="X8" s="1"/>
      <c r="Y8" s="1"/>
      <c r="Z8" s="1"/>
    </row>
    <row r="9">
      <c r="A9" s="1"/>
      <c r="B9" s="5" t="s">
        <v>28</v>
      </c>
      <c r="C9" s="5" t="s">
        <v>30</v>
      </c>
      <c r="D9" s="1"/>
      <c r="E9" s="1"/>
      <c r="F9" s="1"/>
      <c r="G9" s="1"/>
      <c r="H9" s="1"/>
      <c r="I9" s="1"/>
      <c r="J9" s="1"/>
      <c r="K9" s="1"/>
      <c r="L9" s="1"/>
      <c r="M9" s="1"/>
      <c r="N9" s="1"/>
      <c r="O9" s="1"/>
      <c r="P9" s="1"/>
      <c r="Q9" s="1"/>
      <c r="R9" s="1"/>
      <c r="S9" s="1"/>
      <c r="T9" s="1"/>
      <c r="U9" s="1"/>
      <c r="V9" s="1"/>
      <c r="W9" s="1"/>
      <c r="X9" s="1"/>
      <c r="Y9" s="1"/>
      <c r="Z9" s="1"/>
    </row>
    <row r="10">
      <c r="A10" s="1"/>
      <c r="B10" s="5" t="s">
        <v>36</v>
      </c>
      <c r="C10" s="5" t="s">
        <v>38</v>
      </c>
      <c r="D10" s="1"/>
      <c r="E10" s="1"/>
      <c r="F10" s="1"/>
      <c r="G10" s="1"/>
      <c r="H10" s="1"/>
      <c r="I10" s="1"/>
      <c r="J10" s="1"/>
      <c r="K10" s="1"/>
      <c r="L10" s="1"/>
      <c r="M10" s="1"/>
      <c r="N10" s="1"/>
      <c r="O10" s="1"/>
      <c r="P10" s="1"/>
      <c r="Q10" s="1"/>
      <c r="R10" s="1"/>
      <c r="S10" s="1"/>
      <c r="T10" s="1"/>
      <c r="U10" s="1"/>
      <c r="V10" s="1"/>
      <c r="W10" s="1"/>
      <c r="X10" s="1"/>
      <c r="Y10" s="1"/>
      <c r="Z10" s="1"/>
    </row>
    <row r="11">
      <c r="A11" s="1"/>
      <c r="B11" s="5" t="s">
        <v>41</v>
      </c>
      <c r="C11" s="5" t="s">
        <v>42</v>
      </c>
      <c r="D11" s="1"/>
      <c r="E11" s="1"/>
      <c r="F11" s="1"/>
      <c r="G11" s="1"/>
      <c r="H11" s="1"/>
      <c r="I11" s="1"/>
      <c r="J11" s="1"/>
      <c r="K11" s="1"/>
      <c r="L11" s="1"/>
      <c r="M11" s="1"/>
      <c r="N11" s="1"/>
      <c r="O11" s="1"/>
      <c r="P11" s="1"/>
      <c r="Q11" s="1"/>
      <c r="R11" s="1"/>
      <c r="S11" s="1"/>
      <c r="T11" s="1"/>
      <c r="U11" s="1"/>
      <c r="V11" s="1"/>
      <c r="W11" s="1"/>
      <c r="X11" s="1"/>
      <c r="Y11" s="1"/>
      <c r="Z11" s="1"/>
    </row>
    <row r="12">
      <c r="A12" s="1"/>
      <c r="B12" s="5" t="s">
        <v>39</v>
      </c>
      <c r="C12" s="5" t="s">
        <v>43</v>
      </c>
      <c r="D12" s="1"/>
      <c r="E12" s="1"/>
      <c r="F12" s="1"/>
      <c r="G12" s="1"/>
      <c r="H12" s="1"/>
      <c r="I12" s="1"/>
      <c r="J12" s="1"/>
      <c r="K12" s="1"/>
      <c r="L12" s="1"/>
      <c r="M12" s="1"/>
      <c r="N12" s="1"/>
      <c r="O12" s="1"/>
      <c r="P12" s="1"/>
      <c r="Q12" s="1"/>
      <c r="R12" s="1"/>
      <c r="S12" s="1"/>
      <c r="T12" s="1"/>
      <c r="U12" s="1"/>
      <c r="V12" s="1"/>
      <c r="W12" s="1"/>
      <c r="X12" s="1"/>
      <c r="Y12" s="1"/>
      <c r="Z12" s="1"/>
    </row>
    <row r="13">
      <c r="A13" s="1"/>
      <c r="B13" s="5" t="s">
        <v>40</v>
      </c>
      <c r="C13" s="5" t="s">
        <v>47</v>
      </c>
      <c r="D13" s="1"/>
      <c r="E13" s="1"/>
      <c r="F13" s="1"/>
      <c r="G13" s="1"/>
      <c r="H13" s="1"/>
      <c r="I13" s="1"/>
      <c r="J13" s="1"/>
      <c r="K13" s="1"/>
      <c r="L13" s="1"/>
      <c r="M13" s="1"/>
      <c r="N13" s="1"/>
      <c r="O13" s="1"/>
      <c r="P13" s="1"/>
      <c r="Q13" s="1"/>
      <c r="R13" s="1"/>
      <c r="S13" s="1"/>
      <c r="T13" s="1"/>
      <c r="U13" s="1"/>
      <c r="V13" s="1"/>
      <c r="W13" s="1"/>
      <c r="X13" s="1"/>
      <c r="Y13" s="1"/>
      <c r="Z13" s="1"/>
    </row>
    <row r="14">
      <c r="A14" s="1"/>
      <c r="B14" s="5" t="s">
        <v>34</v>
      </c>
      <c r="C14" s="5" t="s">
        <v>48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