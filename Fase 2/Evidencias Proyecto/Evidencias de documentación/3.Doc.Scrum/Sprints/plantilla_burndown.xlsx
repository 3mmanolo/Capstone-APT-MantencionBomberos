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ili\OneDrive\Documentos\COWORK\5.Capstone\Cowork-16-CAPSTONE_002D\EXP2-Desarrollo Proyecto APT\Examen_2\3.Evidencias Proyecto\Evidencias de documentación\4.Doc.Scrum\Sprints\"/>
    </mc:Choice>
  </mc:AlternateContent>
  <bookViews>
    <workbookView xWindow="0" yWindow="0" windowWidth="19200" windowHeight="7180"/>
  </bookViews>
  <sheets>
    <sheet name="Sprint 1" sheetId="1" r:id="rId1"/>
    <sheet name="Sprint 2" sheetId="2" r:id="rId2"/>
    <sheet name="Sprint 3" sheetId="3" r:id="rId3"/>
    <sheet name="Sprint 4" sheetId="4" r:id="rId4"/>
    <sheet name="Sprint 5" sheetId="5" r:id="rId5"/>
  </sheets>
  <calcPr calcId="152511" fullCalcOnLoad="1"/>
</workbook>
</file>

<file path=xl/calcChain.xml><?xml version="1.0" encoding="utf-8"?>
<calcChain xmlns="http://schemas.openxmlformats.org/spreadsheetml/2006/main">
  <c r="L10" i="5" l="1"/>
  <c r="K10" i="5"/>
  <c r="J10" i="5"/>
  <c r="I10" i="5"/>
  <c r="H10" i="5"/>
  <c r="G10" i="5"/>
  <c r="F10" i="5"/>
  <c r="E10" i="5"/>
  <c r="D10" i="5"/>
  <c r="C10" i="5"/>
  <c r="L8" i="5"/>
  <c r="K8" i="5"/>
  <c r="J8" i="5"/>
  <c r="I8" i="5"/>
  <c r="H8" i="5"/>
  <c r="G8" i="5"/>
  <c r="F8" i="5"/>
  <c r="E8" i="5"/>
  <c r="D8" i="5"/>
  <c r="C8" i="5"/>
  <c r="B8" i="5"/>
  <c r="L11" i="5" s="1"/>
  <c r="M7" i="5"/>
  <c r="N7" i="5" s="1"/>
  <c r="M6" i="5"/>
  <c r="N6" i="5" s="1"/>
  <c r="N8" i="5" s="1"/>
  <c r="H12" i="4"/>
  <c r="G12" i="4"/>
  <c r="F12" i="4"/>
  <c r="E12" i="4"/>
  <c r="C12" i="4"/>
  <c r="B12" i="4"/>
  <c r="L11" i="4"/>
  <c r="K11" i="4"/>
  <c r="J11" i="4"/>
  <c r="I11" i="4"/>
  <c r="H11" i="4"/>
  <c r="G11" i="4"/>
  <c r="F11" i="4"/>
  <c r="E11" i="4"/>
  <c r="D11" i="4"/>
  <c r="C11" i="4"/>
  <c r="B11" i="4"/>
  <c r="L9" i="4"/>
  <c r="K9" i="4"/>
  <c r="J9" i="4"/>
  <c r="I9" i="4"/>
  <c r="H9" i="4"/>
  <c r="G9" i="4"/>
  <c r="F9" i="4"/>
  <c r="E9" i="4"/>
  <c r="D9" i="4"/>
  <c r="C9" i="4"/>
  <c r="B9" i="4"/>
  <c r="L12" i="4" s="1"/>
  <c r="M8" i="4"/>
  <c r="N8" i="4" s="1"/>
  <c r="M7" i="4"/>
  <c r="N7" i="4" s="1"/>
  <c r="N9" i="4" s="1"/>
  <c r="N6" i="4"/>
  <c r="M6" i="4"/>
  <c r="L11" i="3"/>
  <c r="K11" i="3"/>
  <c r="H11" i="3"/>
  <c r="E11" i="3"/>
  <c r="D11" i="3"/>
  <c r="L10" i="3"/>
  <c r="K10" i="3"/>
  <c r="J10" i="3"/>
  <c r="I10" i="3"/>
  <c r="H10" i="3"/>
  <c r="G10" i="3"/>
  <c r="F10" i="3"/>
  <c r="E10" i="3"/>
  <c r="D10" i="3"/>
  <c r="C10" i="3"/>
  <c r="L8" i="3"/>
  <c r="K8" i="3"/>
  <c r="J8" i="3"/>
  <c r="I8" i="3"/>
  <c r="H8" i="3"/>
  <c r="G8" i="3"/>
  <c r="F8" i="3"/>
  <c r="E8" i="3"/>
  <c r="D8" i="3"/>
  <c r="C8" i="3"/>
  <c r="B8" i="3"/>
  <c r="J11" i="3" s="1"/>
  <c r="M7" i="3"/>
  <c r="N7" i="3" s="1"/>
  <c r="M6" i="3"/>
  <c r="N6" i="3" s="1"/>
  <c r="N8" i="3" s="1"/>
  <c r="K14" i="2"/>
  <c r="J14" i="2"/>
  <c r="G14" i="2"/>
  <c r="F14" i="2"/>
  <c r="E14" i="2"/>
  <c r="D14" i="2"/>
  <c r="B14" i="2"/>
  <c r="K13" i="2"/>
  <c r="J13" i="2"/>
  <c r="I13" i="2"/>
  <c r="H13" i="2"/>
  <c r="G13" i="2"/>
  <c r="F13" i="2"/>
  <c r="E13" i="2"/>
  <c r="D13" i="2"/>
  <c r="C13" i="2"/>
  <c r="K11" i="2"/>
  <c r="J11" i="2"/>
  <c r="I11" i="2"/>
  <c r="H11" i="2"/>
  <c r="G11" i="2"/>
  <c r="F11" i="2"/>
  <c r="E11" i="2"/>
  <c r="D11" i="2"/>
  <c r="C11" i="2"/>
  <c r="B11" i="2"/>
  <c r="I14" i="2" s="1"/>
  <c r="L10" i="2"/>
  <c r="M10" i="2" s="1"/>
  <c r="L9" i="2"/>
  <c r="M9" i="2" s="1"/>
  <c r="L8" i="2"/>
  <c r="M8" i="2" s="1"/>
  <c r="L7" i="2"/>
  <c r="M7" i="2" s="1"/>
  <c r="L6" i="2"/>
  <c r="M6" i="2" s="1"/>
  <c r="L13" i="1"/>
  <c r="I13" i="1"/>
  <c r="F13" i="1"/>
  <c r="E13" i="1"/>
  <c r="B13" i="1"/>
  <c r="L12" i="1"/>
  <c r="K12" i="1"/>
  <c r="J12" i="1"/>
  <c r="H12" i="1"/>
  <c r="G12" i="1"/>
  <c r="D12" i="1"/>
  <c r="M10" i="1"/>
  <c r="L10" i="1"/>
  <c r="K10" i="1"/>
  <c r="J10" i="1"/>
  <c r="I10" i="1"/>
  <c r="H10" i="1"/>
  <c r="G10" i="1"/>
  <c r="F10" i="1"/>
  <c r="E10" i="1"/>
  <c r="D10" i="1"/>
  <c r="C10" i="1"/>
  <c r="B10" i="1"/>
  <c r="K13" i="1" s="1"/>
  <c r="N9" i="1"/>
  <c r="M9" i="1"/>
  <c r="M8" i="1"/>
  <c r="N8" i="1" s="1"/>
  <c r="N7" i="1"/>
  <c r="M7" i="1"/>
  <c r="M6" i="1"/>
  <c r="N6" i="1" s="1"/>
  <c r="N10" i="1" s="1"/>
  <c r="M11" i="2" l="1"/>
  <c r="I12" i="1"/>
  <c r="C14" i="2"/>
  <c r="D12" i="4"/>
  <c r="L11" i="2"/>
  <c r="M9" i="4"/>
  <c r="C13" i="1"/>
  <c r="B13" i="2"/>
  <c r="H14" i="2"/>
  <c r="B11" i="3"/>
  <c r="I12" i="4"/>
  <c r="B11" i="5"/>
  <c r="D13" i="1"/>
  <c r="C11" i="3"/>
  <c r="J12" i="4"/>
  <c r="C11" i="5"/>
  <c r="K12" i="4"/>
  <c r="D11" i="5"/>
  <c r="M8" i="5"/>
  <c r="E11" i="5"/>
  <c r="M8" i="3"/>
  <c r="B12" i="1"/>
  <c r="G13" i="1"/>
  <c r="F11" i="3"/>
  <c r="F11" i="5"/>
  <c r="C12" i="1"/>
  <c r="H13" i="1"/>
  <c r="B10" i="3"/>
  <c r="G11" i="3"/>
  <c r="B10" i="5"/>
  <c r="G11" i="5"/>
  <c r="H11" i="5"/>
  <c r="E12" i="1"/>
  <c r="J13" i="1"/>
  <c r="I11" i="3"/>
  <c r="I11" i="5"/>
  <c r="F12" i="1"/>
  <c r="J11" i="5"/>
  <c r="K11" i="5"/>
</calcChain>
</file>

<file path=xl/sharedStrings.xml><?xml version="1.0" encoding="utf-8"?>
<sst xmlns="http://schemas.openxmlformats.org/spreadsheetml/2006/main" count="142" uniqueCount="94">
  <si>
    <t>Control del Sprint 1 – FireFleet</t>
  </si>
  <si>
    <t>Modifique solo las celdas de color verde</t>
  </si>
  <si>
    <t>22/09/2026 al 05/10/2026 · 10 días hábiles · Estado: Cerrado</t>
  </si>
  <si>
    <t>Historias de Usuario</t>
  </si>
  <si>
    <t>Horas estimadas</t>
  </si>
  <si>
    <t>DÍA</t>
  </si>
  <si>
    <t>Total consumido</t>
  </si>
  <si>
    <t>Pendiente</t>
  </si>
  <si>
    <t>Inicio</t>
  </si>
  <si>
    <t>22/09</t>
  </si>
  <si>
    <t>23/09</t>
  </si>
  <si>
    <t>24/09</t>
  </si>
  <si>
    <t>25/09</t>
  </si>
  <si>
    <t>28/09</t>
  </si>
  <si>
    <t>29/09</t>
  </si>
  <si>
    <t>30/09</t>
  </si>
  <si>
    <t>01/10</t>
  </si>
  <si>
    <t>02/10</t>
  </si>
  <si>
    <t>05/10</t>
  </si>
  <si>
    <t>HU-07 Inicio de sesión</t>
  </si>
  <si>
    <t>HU-01 Registrar mantención</t>
  </si>
  <si>
    <t>HU-03 Nuevo vehículo</t>
  </si>
  <si>
    <t>HU-04 Disponibilidad del carro</t>
  </si>
  <si>
    <t>Total</t>
  </si>
  <si>
    <t>Reales de producto por realizar</t>
  </si>
  <si>
    <t>Estimadas de producto por realizar</t>
  </si>
  <si>
    <t>Notas</t>
  </si>
  <si>
    <t>• Horas estimadas = suma de las tareas del Documento Sprint Backlog 1 (T1 a T11, 18 h).</t>
  </si>
  <si>
    <t>• Avance diario tomado del registro del equipo, ajustado a las horas de las tareas (HU-01 10,5 h y HU-03 4,5 h).</t>
  </si>
  <si>
    <t>• HU-04 no se terminó: queda 1 h pendiente al cierre y la historia se reprograma al Sprint 3.</t>
  </si>
  <si>
    <t>Control del Sprint 2 – FireFleet</t>
  </si>
  <si>
    <t>06/10/2026 al 19/10/2026 · 9 días hábiles · Estado: En curso</t>
  </si>
  <si>
    <t>06/10</t>
  </si>
  <si>
    <t>07/10</t>
  </si>
  <si>
    <t>08/10</t>
  </si>
  <si>
    <t>09/10</t>
  </si>
  <si>
    <t>13/10</t>
  </si>
  <si>
    <t>14/10</t>
  </si>
  <si>
    <t>15/10</t>
  </si>
  <si>
    <t>16/10</t>
  </si>
  <si>
    <t>19/10</t>
  </si>
  <si>
    <t>HU-02 Insumos de la mantención</t>
  </si>
  <si>
    <t>HU-05 Historial de mantenciones</t>
  </si>
  <si>
    <t>HU-06 Costo total de mantención</t>
  </si>
  <si>
    <t>HU-09 Alertas de mantención</t>
  </si>
  <si>
    <t>HU-10 Gestión de usuarios</t>
  </si>
  <si>
    <t>• Horas estimadas = suma de las tareas T12 a T21 del Documento Sprint Backlog 2.</t>
  </si>
  <si>
    <t>• El 12/10/2026 es feriado, por eso el sprint tiene 9 días hábiles.</t>
  </si>
  <si>
    <t>• Registre las horas consumidas cada día en las celdas verdes: la curva real se dibuja solo en los días con datos.</t>
  </si>
  <si>
    <t>Control del Sprint 3 – FireFleet</t>
  </si>
  <si>
    <t>20/10/2026 al 02/11/2026 · 10 días hábiles · Estado: Planificado</t>
  </si>
  <si>
    <t>20/10</t>
  </si>
  <si>
    <t>21/10</t>
  </si>
  <si>
    <t>22/10</t>
  </si>
  <si>
    <t>23/10</t>
  </si>
  <si>
    <t>26/10</t>
  </si>
  <si>
    <t>27/10</t>
  </si>
  <si>
    <t>28/10</t>
  </si>
  <si>
    <t>29/10</t>
  </si>
  <si>
    <t>30/10</t>
  </si>
  <si>
    <t>02/11</t>
  </si>
  <si>
    <t>HU-08 App móvil: estado de la flota</t>
  </si>
  <si>
    <t>• Horas estimadas = suma de las tareas T22 a T26 del Documento Sprint Backlog 3.</t>
  </si>
  <si>
    <t>• Sprint aún no iniciado: solo se muestra la línea estimada.</t>
  </si>
  <si>
    <t>Control del Sprint 4 – FireFleet</t>
  </si>
  <si>
    <t>03/11/2026 al 16/11/2026 · 10 días hábiles · Estado: Planificado</t>
  </si>
  <si>
    <t>03/11</t>
  </si>
  <si>
    <t>04/11</t>
  </si>
  <si>
    <t>05/11</t>
  </si>
  <si>
    <t>06/11</t>
  </si>
  <si>
    <t>09/11</t>
  </si>
  <si>
    <t>10/11</t>
  </si>
  <si>
    <t>11/11</t>
  </si>
  <si>
    <t>12/11</t>
  </si>
  <si>
    <t>13/11</t>
  </si>
  <si>
    <t>16/11</t>
  </si>
  <si>
    <t>HU-11 Seguridad de la API</t>
  </si>
  <si>
    <t>HU-12 Avisos automáticos de mantención</t>
  </si>
  <si>
    <t>HU-13 Pruebas del sistema</t>
  </si>
  <si>
    <t>• Horas estimadas = suma de las tareas del Documento Sprint Backlog del sprint.</t>
  </si>
  <si>
    <t>Control del Sprint 5 – FireFleet</t>
  </si>
  <si>
    <t>17/11/2026 al 30/11/2026 · 10 días hábiles · Estado: Planificado</t>
  </si>
  <si>
    <t>17/11</t>
  </si>
  <si>
    <t>18/11</t>
  </si>
  <si>
    <t>19/11</t>
  </si>
  <si>
    <t>20/11</t>
  </si>
  <si>
    <t>23/11</t>
  </si>
  <si>
    <t>24/11</t>
  </si>
  <si>
    <t>25/11</t>
  </si>
  <si>
    <t>26/11</t>
  </si>
  <si>
    <t>27/11</t>
  </si>
  <si>
    <t>30/11</t>
  </si>
  <si>
    <t>HU-14 Manual de usuario</t>
  </si>
  <si>
    <t>HU-15 Corrección de errores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</si>
</sst>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;\-0.0;;@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color rgb="FF595959"/>
      <name val="Calibri"/>
    </font>
    <font>
      <sz val="9"/>
      <color rgb="FF595959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6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5"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BurnDown Trabajo Pendiente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5.4352055424890071E-2"/>
          <c:y val="7.0659120158310607E-2"/>
          <c:w val="0.92779080171796702"/>
          <c:h val="0.73935264243111964"/>
        </c:manualLayout>
      </c:layout>
      <c:lineChart>
        <c:grouping val="standard"/>
        <c:varyColors val="1"/>
        <c:ser>
          <c:idx val="0"/>
          <c:order val="0"/>
          <c:tx>
            <c:strRef>
              <c:f>'Sprint 1'!$A$12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8000">
              <a:solidFill>
                <a:srgbClr val="C55A11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'Sprint 1'!$B$5:$L$5</c:f>
              <c:strCache>
                <c:ptCount val="11"/>
                <c:pt idx="0">
                  <c:v>Inicio</c:v>
                </c:pt>
                <c:pt idx="1">
                  <c:v>22/09</c:v>
                </c:pt>
                <c:pt idx="2">
                  <c:v>23/09</c:v>
                </c:pt>
                <c:pt idx="3">
                  <c:v>24/09</c:v>
                </c:pt>
                <c:pt idx="4">
                  <c:v>25/09</c:v>
                </c:pt>
                <c:pt idx="5">
                  <c:v>28/09</c:v>
                </c:pt>
                <c:pt idx="6">
                  <c:v>29/09</c:v>
                </c:pt>
                <c:pt idx="7">
                  <c:v>30/09</c:v>
                </c:pt>
                <c:pt idx="8">
                  <c:v>01/10</c:v>
                </c:pt>
                <c:pt idx="9">
                  <c:v>02/10</c:v>
                </c:pt>
                <c:pt idx="10">
                  <c:v>05/10</c:v>
                </c:pt>
              </c:strCache>
            </c:strRef>
          </c:cat>
          <c:val>
            <c:numRef>
              <c:f>'Sprint 1'!$B$12:$L$12</c:f>
              <c:numCache>
                <c:formatCode>0.0</c:formatCode>
                <c:ptCount val="11"/>
                <c:pt idx="0">
                  <c:v>18</c:v>
                </c:pt>
                <c:pt idx="1">
                  <c:v>17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7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'Sprint 1'!$A$13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22000">
              <a:solidFill>
                <a:srgbClr val="2E75B6"/>
              </a:solidFill>
              <a:prstDash val="dash"/>
            </a:ln>
          </c:spPr>
          <c:marker>
            <c:symbol val="none"/>
          </c:marker>
          <c:cat>
            <c:strRef>
              <c:f>'Sprint 1'!$B$5:$L$5</c:f>
              <c:strCache>
                <c:ptCount val="11"/>
                <c:pt idx="0">
                  <c:v>Inicio</c:v>
                </c:pt>
                <c:pt idx="1">
                  <c:v>22/09</c:v>
                </c:pt>
                <c:pt idx="2">
                  <c:v>23/09</c:v>
                </c:pt>
                <c:pt idx="3">
                  <c:v>24/09</c:v>
                </c:pt>
                <c:pt idx="4">
                  <c:v>25/09</c:v>
                </c:pt>
                <c:pt idx="5">
                  <c:v>28/09</c:v>
                </c:pt>
                <c:pt idx="6">
                  <c:v>29/09</c:v>
                </c:pt>
                <c:pt idx="7">
                  <c:v>30/09</c:v>
                </c:pt>
                <c:pt idx="8">
                  <c:v>01/10</c:v>
                </c:pt>
                <c:pt idx="9">
                  <c:v>02/10</c:v>
                </c:pt>
                <c:pt idx="10">
                  <c:v>05/10</c:v>
                </c:pt>
              </c:strCache>
            </c:strRef>
          </c:cat>
          <c:val>
            <c:numRef>
              <c:f>'Sprint 1'!$B$13:$L$13</c:f>
              <c:numCache>
                <c:formatCode>0.0</c:formatCode>
                <c:ptCount val="11"/>
                <c:pt idx="0">
                  <c:v>18</c:v>
                </c:pt>
                <c:pt idx="1">
                  <c:v>16.2</c:v>
                </c:pt>
                <c:pt idx="2">
                  <c:v>14.4</c:v>
                </c:pt>
                <c:pt idx="3">
                  <c:v>12.6</c:v>
                </c:pt>
                <c:pt idx="4">
                  <c:v>10.8</c:v>
                </c:pt>
                <c:pt idx="5">
                  <c:v>9</c:v>
                </c:pt>
                <c:pt idx="6">
                  <c:v>7.2</c:v>
                </c:pt>
                <c:pt idx="7">
                  <c:v>5.4</c:v>
                </c:pt>
                <c:pt idx="8">
                  <c:v>3.6</c:v>
                </c:pt>
                <c:pt idx="9">
                  <c:v>1.8</c:v>
                </c:pt>
                <c:pt idx="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770560"/>
        <c:axId val="608881008"/>
      </c:lineChart>
      <c:catAx>
        <c:axId val="449770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Día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608881008"/>
        <c:crosses val="autoZero"/>
        <c:auto val="1"/>
        <c:lblAlgn val="ctr"/>
        <c:lblOffset val="100"/>
        <c:noMultiLvlLbl val="1"/>
      </c:catAx>
      <c:valAx>
        <c:axId val="60888100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Horas</a:t>
                </a:r>
              </a:p>
            </c:rich>
          </c:tx>
          <c:layout/>
          <c:overlay val="1"/>
        </c:title>
        <c:numFmt formatCode="0.0" sourceLinked="1"/>
        <c:majorTickMark val="none"/>
        <c:minorTickMark val="none"/>
        <c:tickLblPos val="nextTo"/>
        <c:crossAx val="449770560"/>
        <c:crosses val="autoZero"/>
        <c:crossBetween val="between"/>
      </c:valAx>
    </c:plotArea>
    <c:legend>
      <c:legendPos val="b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BurnDown Trabajo Pendiente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6.5618364197530865E-2"/>
          <c:y val="0.11069513888888889"/>
          <c:w val="0.91282299382716048"/>
          <c:h val="0.6685909722222223"/>
        </c:manualLayout>
      </c:layout>
      <c:lineChart>
        <c:grouping val="standard"/>
        <c:varyColors val="1"/>
        <c:ser>
          <c:idx val="0"/>
          <c:order val="0"/>
          <c:tx>
            <c:strRef>
              <c:f>'Sprint 2'!$A$13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8000">
              <a:solidFill>
                <a:srgbClr val="C55A11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'Sprint 2'!$B$5:$K$5</c:f>
              <c:strCache>
                <c:ptCount val="10"/>
                <c:pt idx="0">
                  <c:v>Inicio</c:v>
                </c:pt>
                <c:pt idx="1">
                  <c:v>06/10</c:v>
                </c:pt>
                <c:pt idx="2">
                  <c:v>07/10</c:v>
                </c:pt>
                <c:pt idx="3">
                  <c:v>08/10</c:v>
                </c:pt>
                <c:pt idx="4">
                  <c:v>09/10</c:v>
                </c:pt>
                <c:pt idx="5">
                  <c:v>13/10</c:v>
                </c:pt>
                <c:pt idx="6">
                  <c:v>14/10</c:v>
                </c:pt>
                <c:pt idx="7">
                  <c:v>15/10</c:v>
                </c:pt>
                <c:pt idx="8">
                  <c:v>16/10</c:v>
                </c:pt>
                <c:pt idx="9">
                  <c:v>19/10</c:v>
                </c:pt>
              </c:strCache>
            </c:strRef>
          </c:cat>
          <c:val>
            <c:numRef>
              <c:f>'Sprint 2'!$B$13:$K$13</c:f>
              <c:numCache>
                <c:formatCode>0.0</c:formatCode>
                <c:ptCount val="10"/>
                <c:pt idx="0">
                  <c:v>21</c:v>
                </c:pt>
                <c:pt idx="1">
                  <c:v>19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'Sprint 2'!$A$14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22000">
              <a:solidFill>
                <a:srgbClr val="2E75B6"/>
              </a:solidFill>
              <a:prstDash val="dash"/>
            </a:ln>
          </c:spPr>
          <c:marker>
            <c:symbol val="none"/>
          </c:marker>
          <c:cat>
            <c:strRef>
              <c:f>'Sprint 2'!$B$5:$K$5</c:f>
              <c:strCache>
                <c:ptCount val="10"/>
                <c:pt idx="0">
                  <c:v>Inicio</c:v>
                </c:pt>
                <c:pt idx="1">
                  <c:v>06/10</c:v>
                </c:pt>
                <c:pt idx="2">
                  <c:v>07/10</c:v>
                </c:pt>
                <c:pt idx="3">
                  <c:v>08/10</c:v>
                </c:pt>
                <c:pt idx="4">
                  <c:v>09/10</c:v>
                </c:pt>
                <c:pt idx="5">
                  <c:v>13/10</c:v>
                </c:pt>
                <c:pt idx="6">
                  <c:v>14/10</c:v>
                </c:pt>
                <c:pt idx="7">
                  <c:v>15/10</c:v>
                </c:pt>
                <c:pt idx="8">
                  <c:v>16/10</c:v>
                </c:pt>
                <c:pt idx="9">
                  <c:v>19/10</c:v>
                </c:pt>
              </c:strCache>
            </c:strRef>
          </c:cat>
          <c:val>
            <c:numRef>
              <c:f>'Sprint 2'!$B$14:$K$14</c:f>
              <c:numCache>
                <c:formatCode>0.0</c:formatCode>
                <c:ptCount val="10"/>
                <c:pt idx="0">
                  <c:v>21</c:v>
                </c:pt>
                <c:pt idx="1">
                  <c:v>18.670000000000002</c:v>
                </c:pt>
                <c:pt idx="2">
                  <c:v>16.329999999999998</c:v>
                </c:pt>
                <c:pt idx="3">
                  <c:v>14</c:v>
                </c:pt>
                <c:pt idx="4">
                  <c:v>11.67</c:v>
                </c:pt>
                <c:pt idx="5">
                  <c:v>9.33</c:v>
                </c:pt>
                <c:pt idx="6">
                  <c:v>7</c:v>
                </c:pt>
                <c:pt idx="7">
                  <c:v>4.67</c:v>
                </c:pt>
                <c:pt idx="8">
                  <c:v>2.33</c:v>
                </c:pt>
                <c:pt idx="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869584"/>
        <c:axId val="608878832"/>
      </c:lineChart>
      <c:catAx>
        <c:axId val="608869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Día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608878832"/>
        <c:crosses val="autoZero"/>
        <c:auto val="1"/>
        <c:lblAlgn val="ctr"/>
        <c:lblOffset val="100"/>
        <c:noMultiLvlLbl val="1"/>
      </c:catAx>
      <c:valAx>
        <c:axId val="60887883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Horas</a:t>
                </a:r>
              </a:p>
            </c:rich>
          </c:tx>
          <c:layout/>
          <c:overlay val="1"/>
        </c:title>
        <c:numFmt formatCode="0.0" sourceLinked="1"/>
        <c:majorTickMark val="none"/>
        <c:minorTickMark val="none"/>
        <c:tickLblPos val="nextTo"/>
        <c:crossAx val="608869584"/>
        <c:crosses val="autoZero"/>
        <c:crossBetween val="between"/>
      </c:valAx>
    </c:plotArea>
    <c:legend>
      <c:legendPos val="b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BurnDown Trabajo Pendiente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5618364197530865E-2"/>
          <c:y val="0.10628541666666666"/>
          <c:w val="0.89910385802469139"/>
          <c:h val="0.67986412235249905"/>
        </c:manualLayout>
      </c:layout>
      <c:lineChart>
        <c:grouping val="standard"/>
        <c:varyColors val="1"/>
        <c:ser>
          <c:idx val="0"/>
          <c:order val="0"/>
          <c:tx>
            <c:strRef>
              <c:f>'Sprint 3'!$A$10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8000">
              <a:solidFill>
                <a:srgbClr val="C55A11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'Sprint 3'!$B$5:$L$5</c:f>
              <c:strCache>
                <c:ptCount val="11"/>
                <c:pt idx="0">
                  <c:v>Inicio</c:v>
                </c:pt>
                <c:pt idx="1">
                  <c:v>20/10</c:v>
                </c:pt>
                <c:pt idx="2">
                  <c:v>21/10</c:v>
                </c:pt>
                <c:pt idx="3">
                  <c:v>22/10</c:v>
                </c:pt>
                <c:pt idx="4">
                  <c:v>23/10</c:v>
                </c:pt>
                <c:pt idx="5">
                  <c:v>26/10</c:v>
                </c:pt>
                <c:pt idx="6">
                  <c:v>27/10</c:v>
                </c:pt>
                <c:pt idx="7">
                  <c:v>28/10</c:v>
                </c:pt>
                <c:pt idx="8">
                  <c:v>29/10</c:v>
                </c:pt>
                <c:pt idx="9">
                  <c:v>30/10</c:v>
                </c:pt>
                <c:pt idx="10">
                  <c:v>02/11</c:v>
                </c:pt>
              </c:strCache>
            </c:strRef>
          </c:cat>
          <c:val>
            <c:numRef>
              <c:f>'Sprint 3'!$B$10:$L$10</c:f>
              <c:numCache>
                <c:formatCode>0.0</c:formatCode>
                <c:ptCount val="11"/>
                <c:pt idx="0">
                  <c:v>11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'Sprint 3'!$A$11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22000">
              <a:solidFill>
                <a:srgbClr val="2E75B6"/>
              </a:solidFill>
              <a:prstDash val="dash"/>
            </a:ln>
          </c:spPr>
          <c:marker>
            <c:symbol val="none"/>
          </c:marker>
          <c:cat>
            <c:strRef>
              <c:f>'Sprint 3'!$B$5:$L$5</c:f>
              <c:strCache>
                <c:ptCount val="11"/>
                <c:pt idx="0">
                  <c:v>Inicio</c:v>
                </c:pt>
                <c:pt idx="1">
                  <c:v>20/10</c:v>
                </c:pt>
                <c:pt idx="2">
                  <c:v>21/10</c:v>
                </c:pt>
                <c:pt idx="3">
                  <c:v>22/10</c:v>
                </c:pt>
                <c:pt idx="4">
                  <c:v>23/10</c:v>
                </c:pt>
                <c:pt idx="5">
                  <c:v>26/10</c:v>
                </c:pt>
                <c:pt idx="6">
                  <c:v>27/10</c:v>
                </c:pt>
                <c:pt idx="7">
                  <c:v>28/10</c:v>
                </c:pt>
                <c:pt idx="8">
                  <c:v>29/10</c:v>
                </c:pt>
                <c:pt idx="9">
                  <c:v>30/10</c:v>
                </c:pt>
                <c:pt idx="10">
                  <c:v>02/11</c:v>
                </c:pt>
              </c:strCache>
            </c:strRef>
          </c:cat>
          <c:val>
            <c:numRef>
              <c:f>'Sprint 3'!$B$11:$L$11</c:f>
              <c:numCache>
                <c:formatCode>0.0</c:formatCode>
                <c:ptCount val="11"/>
                <c:pt idx="0">
                  <c:v>11</c:v>
                </c:pt>
                <c:pt idx="1">
                  <c:v>9.9</c:v>
                </c:pt>
                <c:pt idx="2">
                  <c:v>8.8000000000000007</c:v>
                </c:pt>
                <c:pt idx="3">
                  <c:v>7.7</c:v>
                </c:pt>
                <c:pt idx="4">
                  <c:v>6.6</c:v>
                </c:pt>
                <c:pt idx="5">
                  <c:v>5.5</c:v>
                </c:pt>
                <c:pt idx="6">
                  <c:v>4.4000000000000004</c:v>
                </c:pt>
                <c:pt idx="7">
                  <c:v>3.3</c:v>
                </c:pt>
                <c:pt idx="8">
                  <c:v>2.2000000000000002</c:v>
                </c:pt>
                <c:pt idx="9">
                  <c:v>1.1000000000000001</c:v>
                </c:pt>
                <c:pt idx="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877200"/>
        <c:axId val="608872304"/>
      </c:lineChart>
      <c:catAx>
        <c:axId val="608877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Día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608872304"/>
        <c:crosses val="autoZero"/>
        <c:auto val="1"/>
        <c:lblAlgn val="ctr"/>
        <c:lblOffset val="100"/>
        <c:noMultiLvlLbl val="1"/>
      </c:catAx>
      <c:valAx>
        <c:axId val="608872304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Horas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60887720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BurnDown Trabajo Pendiente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3056635802469131E-2"/>
          <c:y val="0.1025788634458271"/>
          <c:w val="0.86970570987654316"/>
          <c:h val="0.67510989101310148"/>
        </c:manualLayout>
      </c:layout>
      <c:lineChart>
        <c:grouping val="standard"/>
        <c:varyColors val="1"/>
        <c:ser>
          <c:idx val="0"/>
          <c:order val="0"/>
          <c:tx>
            <c:strRef>
              <c:f>'Sprint 4'!$A$11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8000">
              <a:solidFill>
                <a:srgbClr val="C55A11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'Sprint 4'!$B$5:$L$5</c:f>
              <c:strCache>
                <c:ptCount val="11"/>
                <c:pt idx="0">
                  <c:v>Inicio</c:v>
                </c:pt>
                <c:pt idx="1">
                  <c:v>03/11</c:v>
                </c:pt>
                <c:pt idx="2">
                  <c:v>04/11</c:v>
                </c:pt>
                <c:pt idx="3">
                  <c:v>05/11</c:v>
                </c:pt>
                <c:pt idx="4">
                  <c:v>06/11</c:v>
                </c:pt>
                <c:pt idx="5">
                  <c:v>09/11</c:v>
                </c:pt>
                <c:pt idx="6">
                  <c:v>10/11</c:v>
                </c:pt>
                <c:pt idx="7">
                  <c:v>11/11</c:v>
                </c:pt>
                <c:pt idx="8">
                  <c:v>12/11</c:v>
                </c:pt>
                <c:pt idx="9">
                  <c:v>13/11</c:v>
                </c:pt>
                <c:pt idx="10">
                  <c:v>16/11</c:v>
                </c:pt>
              </c:strCache>
            </c:strRef>
          </c:cat>
          <c:val>
            <c:numRef>
              <c:f>'Sprint 4'!$B$11:$L$11</c:f>
              <c:numCache>
                <c:formatCode>0.0</c:formatCode>
                <c:ptCount val="11"/>
                <c:pt idx="0">
                  <c:v>20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'Sprint 4'!$A$12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22000">
              <a:solidFill>
                <a:srgbClr val="2E75B6"/>
              </a:solidFill>
              <a:prstDash val="dash"/>
            </a:ln>
          </c:spPr>
          <c:marker>
            <c:symbol val="none"/>
          </c:marker>
          <c:cat>
            <c:strRef>
              <c:f>'Sprint 4'!$B$5:$L$5</c:f>
              <c:strCache>
                <c:ptCount val="11"/>
                <c:pt idx="0">
                  <c:v>Inicio</c:v>
                </c:pt>
                <c:pt idx="1">
                  <c:v>03/11</c:v>
                </c:pt>
                <c:pt idx="2">
                  <c:v>04/11</c:v>
                </c:pt>
                <c:pt idx="3">
                  <c:v>05/11</c:v>
                </c:pt>
                <c:pt idx="4">
                  <c:v>06/11</c:v>
                </c:pt>
                <c:pt idx="5">
                  <c:v>09/11</c:v>
                </c:pt>
                <c:pt idx="6">
                  <c:v>10/11</c:v>
                </c:pt>
                <c:pt idx="7">
                  <c:v>11/11</c:v>
                </c:pt>
                <c:pt idx="8">
                  <c:v>12/11</c:v>
                </c:pt>
                <c:pt idx="9">
                  <c:v>13/11</c:v>
                </c:pt>
                <c:pt idx="10">
                  <c:v>16/11</c:v>
                </c:pt>
              </c:strCache>
            </c:strRef>
          </c:cat>
          <c:val>
            <c:numRef>
              <c:f>'Sprint 4'!$B$12:$L$12</c:f>
              <c:numCache>
                <c:formatCode>0.0</c:formatCode>
                <c:ptCount val="11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870672"/>
        <c:axId val="608872848"/>
      </c:lineChart>
      <c:catAx>
        <c:axId val="608870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Día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608872848"/>
        <c:crosses val="autoZero"/>
        <c:auto val="1"/>
        <c:lblAlgn val="ctr"/>
        <c:lblOffset val="100"/>
        <c:noMultiLvlLbl val="1"/>
      </c:catAx>
      <c:valAx>
        <c:axId val="608872848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Horas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608870672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CL"/>
              <a:t>BurnDown Trabajo Pendiente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5052295349873718E-2"/>
          <c:y val="9.3765575637057591E-2"/>
          <c:w val="0.90338909523102062"/>
          <c:h val="0.70151386372019198"/>
        </c:manualLayout>
      </c:layout>
      <c:lineChart>
        <c:grouping val="standard"/>
        <c:varyColors val="1"/>
        <c:ser>
          <c:idx val="0"/>
          <c:order val="0"/>
          <c:tx>
            <c:strRef>
              <c:f>'Sprint 5'!$A$10</c:f>
              <c:strCache>
                <c:ptCount val="1"/>
                <c:pt idx="0">
                  <c:v>Reales de producto por realizar</c:v>
                </c:pt>
              </c:strCache>
            </c:strRef>
          </c:tx>
          <c:spPr>
            <a:ln w="28000">
              <a:solidFill>
                <a:srgbClr val="C55A11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'Sprint 5'!$B$5:$L$5</c:f>
              <c:strCache>
                <c:ptCount val="11"/>
                <c:pt idx="0">
                  <c:v>Inicio</c:v>
                </c:pt>
                <c:pt idx="1">
                  <c:v>17/11</c:v>
                </c:pt>
                <c:pt idx="2">
                  <c:v>18/11</c:v>
                </c:pt>
                <c:pt idx="3">
                  <c:v>19/11</c:v>
                </c:pt>
                <c:pt idx="4">
                  <c:v>20/11</c:v>
                </c:pt>
                <c:pt idx="5">
                  <c:v>23/11</c:v>
                </c:pt>
                <c:pt idx="6">
                  <c:v>24/11</c:v>
                </c:pt>
                <c:pt idx="7">
                  <c:v>25/11</c:v>
                </c:pt>
                <c:pt idx="8">
                  <c:v>26/11</c:v>
                </c:pt>
                <c:pt idx="9">
                  <c:v>27/11</c:v>
                </c:pt>
                <c:pt idx="10">
                  <c:v>30/11</c:v>
                </c:pt>
              </c:strCache>
            </c:strRef>
          </c:cat>
          <c:val>
            <c:numRef>
              <c:f>'Sprint 5'!$B$10:$L$10</c:f>
              <c:numCache>
                <c:formatCode>0.0</c:formatCode>
                <c:ptCount val="11"/>
                <c:pt idx="0">
                  <c:v>10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'Sprint 5'!$A$11</c:f>
              <c:strCache>
                <c:ptCount val="1"/>
                <c:pt idx="0">
                  <c:v>Estimadas de producto por realizar</c:v>
                </c:pt>
              </c:strCache>
            </c:strRef>
          </c:tx>
          <c:spPr>
            <a:ln w="22000">
              <a:solidFill>
                <a:srgbClr val="2E75B6"/>
              </a:solidFill>
              <a:prstDash val="dash"/>
            </a:ln>
          </c:spPr>
          <c:marker>
            <c:symbol val="none"/>
          </c:marker>
          <c:cat>
            <c:strRef>
              <c:f>'Sprint 5'!$B$5:$L$5</c:f>
              <c:strCache>
                <c:ptCount val="11"/>
                <c:pt idx="0">
                  <c:v>Inicio</c:v>
                </c:pt>
                <c:pt idx="1">
                  <c:v>17/11</c:v>
                </c:pt>
                <c:pt idx="2">
                  <c:v>18/11</c:v>
                </c:pt>
                <c:pt idx="3">
                  <c:v>19/11</c:v>
                </c:pt>
                <c:pt idx="4">
                  <c:v>20/11</c:v>
                </c:pt>
                <c:pt idx="5">
                  <c:v>23/11</c:v>
                </c:pt>
                <c:pt idx="6">
                  <c:v>24/11</c:v>
                </c:pt>
                <c:pt idx="7">
                  <c:v>25/11</c:v>
                </c:pt>
                <c:pt idx="8">
                  <c:v>26/11</c:v>
                </c:pt>
                <c:pt idx="9">
                  <c:v>27/11</c:v>
                </c:pt>
                <c:pt idx="10">
                  <c:v>30/11</c:v>
                </c:pt>
              </c:strCache>
            </c:strRef>
          </c:cat>
          <c:val>
            <c:numRef>
              <c:f>'Sprint 5'!$B$11:$L$11</c:f>
              <c:numCache>
                <c:formatCode>0.0</c:formatCode>
                <c:ptCount val="11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871216"/>
        <c:axId val="608882096"/>
      </c:lineChart>
      <c:catAx>
        <c:axId val="608871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Día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608882096"/>
        <c:crosses val="autoZero"/>
        <c:auto val="1"/>
        <c:lblAlgn val="ctr"/>
        <c:lblOffset val="100"/>
        <c:noMultiLvlLbl val="1"/>
      </c:catAx>
      <c:valAx>
        <c:axId val="60888209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L"/>
                  <a:t>Horas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608871216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7823200" cy="361315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6480000" cy="314325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480000" cy="319405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6480000" cy="304165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6731000" cy="311785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8"/>
  <sheetViews>
    <sheetView tabSelected="1" zoomScale="80" zoomScaleNormal="80" workbookViewId="0">
      <pane xSplit="2" ySplit="5" topLeftCell="C19" activePane="bottomRight" state="frozen"/>
      <selection pane="topRight"/>
      <selection pane="bottomLeft"/>
      <selection pane="bottomRight" activeCell="K18" sqref="K18"/>
    </sheetView>
  </sheetViews>
  <sheetFormatPr baseColWidth="10" defaultColWidth="8.7265625" defaultRowHeight="14.5" x14ac:dyDescent="0.35"/>
  <cols>
    <col min="1" max="1" width="36" customWidth="1"/>
    <col min="2" max="2" width="11" customWidth="1"/>
    <col min="3" max="12" width="7" customWidth="1"/>
    <col min="13" max="13" width="11" customWidth="1"/>
    <col min="14" max="14" width="10" customWidth="1"/>
  </cols>
  <sheetData>
    <row r="1" spans="1:14" ht="18.5" x14ac:dyDescent="0.45">
      <c r="A1" s="1" t="s">
        <v>0</v>
      </c>
      <c r="J1" s="2" t="s">
        <v>1</v>
      </c>
    </row>
    <row r="2" spans="1:14" x14ac:dyDescent="0.35">
      <c r="A2" s="3" t="s">
        <v>2</v>
      </c>
    </row>
    <row r="4" spans="1:14" ht="30" customHeight="1" x14ac:dyDescent="0.35">
      <c r="A4" s="13" t="s">
        <v>3</v>
      </c>
      <c r="B4" s="4" t="s">
        <v>4</v>
      </c>
      <c r="C4" s="13" t="s">
        <v>5</v>
      </c>
      <c r="D4" s="13"/>
      <c r="E4" s="13"/>
      <c r="F4" s="13"/>
      <c r="G4" s="13"/>
      <c r="H4" s="13"/>
      <c r="I4" s="13"/>
      <c r="J4" s="13"/>
      <c r="K4" s="13"/>
      <c r="L4" s="13"/>
      <c r="M4" s="13" t="s">
        <v>6</v>
      </c>
      <c r="N4" s="13" t="s">
        <v>7</v>
      </c>
    </row>
    <row r="5" spans="1:14" x14ac:dyDescent="0.35">
      <c r="A5" s="14"/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18</v>
      </c>
      <c r="M5" s="14"/>
      <c r="N5" s="14"/>
    </row>
    <row r="6" spans="1:14" x14ac:dyDescent="0.35">
      <c r="A6" s="5" t="s">
        <v>19</v>
      </c>
      <c r="B6" s="6">
        <v>2</v>
      </c>
      <c r="C6" s="7">
        <v>1</v>
      </c>
      <c r="D6" s="7">
        <v>1</v>
      </c>
      <c r="E6" s="7"/>
      <c r="F6" s="7"/>
      <c r="G6" s="7"/>
      <c r="H6" s="7"/>
      <c r="I6" s="7"/>
      <c r="J6" s="7"/>
      <c r="K6" s="7"/>
      <c r="L6" s="7"/>
      <c r="M6" s="8">
        <f>SUM(C6:L6)</f>
        <v>2</v>
      </c>
      <c r="N6" s="8">
        <f>B6-M6</f>
        <v>0</v>
      </c>
    </row>
    <row r="7" spans="1:14" x14ac:dyDescent="0.35">
      <c r="A7" s="5" t="s">
        <v>20</v>
      </c>
      <c r="B7" s="6">
        <v>10.5</v>
      </c>
      <c r="C7" s="7"/>
      <c r="D7" s="7"/>
      <c r="E7" s="7">
        <v>2</v>
      </c>
      <c r="F7" s="7">
        <v>2</v>
      </c>
      <c r="G7" s="7">
        <v>3</v>
      </c>
      <c r="H7" s="7">
        <v>3</v>
      </c>
      <c r="I7" s="7">
        <v>0.5</v>
      </c>
      <c r="J7" s="7"/>
      <c r="K7" s="7"/>
      <c r="L7" s="7"/>
      <c r="M7" s="8">
        <f>SUM(C7:L7)</f>
        <v>10.5</v>
      </c>
      <c r="N7" s="8">
        <f>B7-M7</f>
        <v>0</v>
      </c>
    </row>
    <row r="8" spans="1:14" x14ac:dyDescent="0.35">
      <c r="A8" s="5" t="s">
        <v>21</v>
      </c>
      <c r="B8" s="6">
        <v>4.5</v>
      </c>
      <c r="C8" s="7"/>
      <c r="D8" s="7"/>
      <c r="E8" s="7"/>
      <c r="F8" s="7"/>
      <c r="G8" s="7">
        <v>2</v>
      </c>
      <c r="H8" s="7"/>
      <c r="I8" s="7">
        <v>2.5</v>
      </c>
      <c r="J8" s="7"/>
      <c r="K8" s="7"/>
      <c r="L8" s="7"/>
      <c r="M8" s="8">
        <f>SUM(C8:L8)</f>
        <v>4.5</v>
      </c>
      <c r="N8" s="8">
        <f>B8-M8</f>
        <v>0</v>
      </c>
    </row>
    <row r="9" spans="1:14" x14ac:dyDescent="0.35">
      <c r="A9" s="5" t="s">
        <v>22</v>
      </c>
      <c r="B9" s="6">
        <v>1</v>
      </c>
      <c r="C9" s="7"/>
      <c r="D9" s="7"/>
      <c r="E9" s="7"/>
      <c r="F9" s="7"/>
      <c r="G9" s="7"/>
      <c r="H9" s="7"/>
      <c r="I9" s="7"/>
      <c r="J9" s="7">
        <v>0</v>
      </c>
      <c r="K9" s="7">
        <v>0</v>
      </c>
      <c r="L9" s="7">
        <v>0</v>
      </c>
      <c r="M9" s="8">
        <f>SUM(C9:L9)</f>
        <v>0</v>
      </c>
      <c r="N9" s="8">
        <f>B9-M9</f>
        <v>1</v>
      </c>
    </row>
    <row r="10" spans="1:14" x14ac:dyDescent="0.35">
      <c r="A10" s="9" t="s">
        <v>23</v>
      </c>
      <c r="B10" s="10">
        <f t="shared" ref="B10:N10" si="0">SUM(B6:B9)</f>
        <v>18</v>
      </c>
      <c r="C10" s="10">
        <f t="shared" si="0"/>
        <v>1</v>
      </c>
      <c r="D10" s="10">
        <f t="shared" si="0"/>
        <v>1</v>
      </c>
      <c r="E10" s="10">
        <f t="shared" si="0"/>
        <v>2</v>
      </c>
      <c r="F10" s="10">
        <f t="shared" si="0"/>
        <v>2</v>
      </c>
      <c r="G10" s="10">
        <f t="shared" si="0"/>
        <v>5</v>
      </c>
      <c r="H10" s="10">
        <f t="shared" si="0"/>
        <v>3</v>
      </c>
      <c r="I10" s="10">
        <f t="shared" si="0"/>
        <v>3</v>
      </c>
      <c r="J10" s="10">
        <f t="shared" si="0"/>
        <v>0</v>
      </c>
      <c r="K10" s="10">
        <f t="shared" si="0"/>
        <v>0</v>
      </c>
      <c r="L10" s="10">
        <f t="shared" si="0"/>
        <v>0</v>
      </c>
      <c r="M10" s="10">
        <f t="shared" si="0"/>
        <v>17</v>
      </c>
      <c r="N10" s="10">
        <f t="shared" si="0"/>
        <v>1</v>
      </c>
    </row>
    <row r="12" spans="1:14" x14ac:dyDescent="0.35">
      <c r="A12" s="11" t="s">
        <v>24</v>
      </c>
      <c r="B12" s="8">
        <f>B10</f>
        <v>18</v>
      </c>
      <c r="C12" s="8">
        <f>IF(COUNT(C6:C9)=0,NA(),$B$10-SUM($C$6:C$9))</f>
        <v>17</v>
      </c>
      <c r="D12" s="8">
        <f>IF(COUNT(D6:D9)=0,NA(),$B$10-SUM($C$6:D$9))</f>
        <v>16</v>
      </c>
      <c r="E12" s="8">
        <f>IF(COUNT(E6:E9)=0,NA(),$B$10-SUM($C$6:E$9))</f>
        <v>14</v>
      </c>
      <c r="F12" s="8">
        <f>IF(COUNT(F6:F9)=0,NA(),$B$10-SUM($C$6:F$9))</f>
        <v>12</v>
      </c>
      <c r="G12" s="8">
        <f>IF(COUNT(G6:G9)=0,NA(),$B$10-SUM($C$6:G$9))</f>
        <v>7</v>
      </c>
      <c r="H12" s="8">
        <f>IF(COUNT(H6:H9)=0,NA(),$B$10-SUM($C$6:H$9))</f>
        <v>4</v>
      </c>
      <c r="I12" s="8">
        <f>IF(COUNT(I6:I9)=0,NA(),$B$10-SUM($C$6:I$9))</f>
        <v>1</v>
      </c>
      <c r="J12" s="8">
        <f>IF(COUNT(J6:J9)=0,NA(),$B$10-SUM($C$6:J$9))</f>
        <v>1</v>
      </c>
      <c r="K12" s="8">
        <f>IF(COUNT(K6:K9)=0,NA(),$B$10-SUM($C$6:K$9))</f>
        <v>1</v>
      </c>
      <c r="L12" s="8">
        <f>IF(COUNT(L6:L9)=0,NA(),$B$10-SUM($C$6:L$9))</f>
        <v>1</v>
      </c>
    </row>
    <row r="13" spans="1:14" x14ac:dyDescent="0.35">
      <c r="A13" s="11" t="s">
        <v>25</v>
      </c>
      <c r="B13" s="8">
        <f>B10</f>
        <v>18</v>
      </c>
      <c r="C13" s="8">
        <f>ROUND($B$10-$B$10*1/10,2)</f>
        <v>16.2</v>
      </c>
      <c r="D13" s="8">
        <f>ROUND($B$10-$B$10*2/10,2)</f>
        <v>14.4</v>
      </c>
      <c r="E13" s="8">
        <f>ROUND($B$10-$B$10*3/10,2)</f>
        <v>12.6</v>
      </c>
      <c r="F13" s="8">
        <f>ROUND($B$10-$B$10*4/10,2)</f>
        <v>10.8</v>
      </c>
      <c r="G13" s="8">
        <f>ROUND($B$10-$B$10*5/10,2)</f>
        <v>9</v>
      </c>
      <c r="H13" s="8">
        <f>ROUND($B$10-$B$10*6/10,2)</f>
        <v>7.2</v>
      </c>
      <c r="I13" s="8">
        <f>ROUND($B$10-$B$10*7/10,2)</f>
        <v>5.4</v>
      </c>
      <c r="J13" s="8">
        <f>ROUND($B$10-$B$10*8/10,2)</f>
        <v>3.6</v>
      </c>
      <c r="K13" s="8">
        <f>ROUND($B$10-$B$10*9/10,2)</f>
        <v>1.8</v>
      </c>
      <c r="L13" s="8">
        <f>ROUND($B$10-$B$10*10/10,2)</f>
        <v>0</v>
      </c>
    </row>
    <row r="15" spans="1:14" x14ac:dyDescent="0.35">
      <c r="A15" s="12" t="s">
        <v>26</v>
      </c>
    </row>
    <row r="16" spans="1:14" x14ac:dyDescent="0.35">
      <c r="A16" t="s">
        <v>27</v>
      </c>
    </row>
    <row r="17" spans="1:1" x14ac:dyDescent="0.35">
      <c r="A17" t="s">
        <v>28</v>
      </c>
    </row>
    <row r="18" spans="1:1" x14ac:dyDescent="0.35">
      <c r="A18" t="s">
        <v>29</v>
      </c>
    </row>
  </sheetData>
  <mergeCells count="4">
    <mergeCell ref="A4:A5"/>
    <mergeCell ref="C4:L4"/>
    <mergeCell ref="M4:M5"/>
    <mergeCell ref="N4:N5"/>
  </mergeCells>
  <conditionalFormatting sqref="C12:L12">
    <cfRule type="expression" dxfId="4" priority="1">
      <formula>ISNA(C12)</formula>
    </cfRule>
  </conditionalFormatting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9"/>
  <sheetViews>
    <sheetView zoomScale="85" zoomScaleNormal="85" workbookViewId="0">
      <pane xSplit="2" ySplit="5" topLeftCell="C19" activePane="bottomRight" state="frozen"/>
      <selection pane="topRight"/>
      <selection pane="bottomLeft"/>
      <selection pane="bottomRight" activeCell="J34" sqref="J34"/>
    </sheetView>
  </sheetViews>
  <sheetFormatPr baseColWidth="10" defaultColWidth="8.7265625" defaultRowHeight="14.5" x14ac:dyDescent="0.35"/>
  <cols>
    <col min="1" max="1" width="36" customWidth="1"/>
    <col min="2" max="2" width="11" customWidth="1"/>
    <col min="3" max="11" width="7" customWidth="1"/>
    <col min="12" max="12" width="11" customWidth="1"/>
    <col min="13" max="13" width="10" customWidth="1"/>
  </cols>
  <sheetData>
    <row r="1" spans="1:13" ht="18.5" x14ac:dyDescent="0.45">
      <c r="A1" s="1" t="s">
        <v>30</v>
      </c>
      <c r="I1" s="2" t="s">
        <v>1</v>
      </c>
    </row>
    <row r="2" spans="1:13" x14ac:dyDescent="0.35">
      <c r="A2" s="3" t="s">
        <v>31</v>
      </c>
    </row>
    <row r="4" spans="1:13" ht="30" customHeight="1" x14ac:dyDescent="0.35">
      <c r="A4" s="13" t="s">
        <v>3</v>
      </c>
      <c r="B4" s="4" t="s">
        <v>4</v>
      </c>
      <c r="C4" s="13" t="s">
        <v>5</v>
      </c>
      <c r="D4" s="13"/>
      <c r="E4" s="13"/>
      <c r="F4" s="13"/>
      <c r="G4" s="13"/>
      <c r="H4" s="13"/>
      <c r="I4" s="13"/>
      <c r="J4" s="13"/>
      <c r="K4" s="13"/>
      <c r="L4" s="13" t="s">
        <v>6</v>
      </c>
      <c r="M4" s="13" t="s">
        <v>7</v>
      </c>
    </row>
    <row r="5" spans="1:13" x14ac:dyDescent="0.35">
      <c r="A5" s="14"/>
      <c r="B5" s="4" t="s">
        <v>8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38</v>
      </c>
      <c r="J5" s="4" t="s">
        <v>39</v>
      </c>
      <c r="K5" s="4" t="s">
        <v>40</v>
      </c>
      <c r="L5" s="14"/>
      <c r="M5" s="14"/>
    </row>
    <row r="6" spans="1:13" x14ac:dyDescent="0.35">
      <c r="A6" s="5" t="s">
        <v>41</v>
      </c>
      <c r="B6" s="6">
        <v>5</v>
      </c>
      <c r="C6" s="7">
        <v>2</v>
      </c>
      <c r="D6" s="7">
        <v>3</v>
      </c>
      <c r="E6" s="7"/>
      <c r="F6" s="7"/>
      <c r="G6" s="7"/>
      <c r="H6" s="7"/>
      <c r="I6" s="7"/>
      <c r="J6" s="7"/>
      <c r="K6" s="7"/>
      <c r="L6" s="8">
        <f>SUM(C6:K6)</f>
        <v>5</v>
      </c>
      <c r="M6" s="8">
        <f>B6-L6</f>
        <v>0</v>
      </c>
    </row>
    <row r="7" spans="1:13" x14ac:dyDescent="0.35">
      <c r="A7" s="5" t="s">
        <v>42</v>
      </c>
      <c r="B7" s="6">
        <v>4</v>
      </c>
      <c r="C7" s="7"/>
      <c r="D7" s="7"/>
      <c r="E7" s="7">
        <v>2</v>
      </c>
      <c r="F7" s="7">
        <v>2</v>
      </c>
      <c r="G7" s="7"/>
      <c r="H7" s="7"/>
      <c r="I7" s="7"/>
      <c r="J7" s="7"/>
      <c r="K7" s="7"/>
      <c r="L7" s="8">
        <f>SUM(C7:K7)</f>
        <v>4</v>
      </c>
      <c r="M7" s="8">
        <f>B7-L7</f>
        <v>0</v>
      </c>
    </row>
    <row r="8" spans="1:13" x14ac:dyDescent="0.35">
      <c r="A8" s="5" t="s">
        <v>43</v>
      </c>
      <c r="B8" s="6">
        <v>3</v>
      </c>
      <c r="C8" s="7">
        <v>2</v>
      </c>
      <c r="D8" s="7">
        <v>1</v>
      </c>
      <c r="E8" s="7"/>
      <c r="F8" s="7"/>
      <c r="G8" s="7"/>
      <c r="H8" s="7"/>
      <c r="I8" s="7"/>
      <c r="J8" s="7"/>
      <c r="K8" s="7"/>
      <c r="L8" s="8">
        <f>SUM(C8:K8)</f>
        <v>3</v>
      </c>
      <c r="M8" s="8">
        <f>B8-L8</f>
        <v>0</v>
      </c>
    </row>
    <row r="9" spans="1:13" x14ac:dyDescent="0.35">
      <c r="A9" s="5" t="s">
        <v>44</v>
      </c>
      <c r="B9" s="6">
        <v>4</v>
      </c>
      <c r="C9" s="7"/>
      <c r="D9" s="7">
        <v>2</v>
      </c>
      <c r="E9" s="7">
        <v>2</v>
      </c>
      <c r="F9" s="7"/>
      <c r="G9" s="7"/>
      <c r="H9" s="7"/>
      <c r="I9" s="7"/>
      <c r="J9" s="7"/>
      <c r="K9" s="7"/>
      <c r="L9" s="8">
        <f>SUM(C9:K9)</f>
        <v>4</v>
      </c>
      <c r="M9" s="8">
        <f>B9-L9</f>
        <v>0</v>
      </c>
    </row>
    <row r="10" spans="1:13" x14ac:dyDescent="0.35">
      <c r="A10" s="5" t="s">
        <v>45</v>
      </c>
      <c r="B10" s="6">
        <v>5</v>
      </c>
      <c r="C10" s="7"/>
      <c r="D10" s="7"/>
      <c r="E10" s="7">
        <v>1</v>
      </c>
      <c r="F10" s="7">
        <v>4</v>
      </c>
      <c r="G10" s="7"/>
      <c r="H10" s="7"/>
      <c r="I10" s="7"/>
      <c r="J10" s="7"/>
      <c r="K10" s="7"/>
      <c r="L10" s="8">
        <f>SUM(C10:K10)</f>
        <v>5</v>
      </c>
      <c r="M10" s="8">
        <f>B10-L10</f>
        <v>0</v>
      </c>
    </row>
    <row r="11" spans="1:13" x14ac:dyDescent="0.35">
      <c r="A11" s="9" t="s">
        <v>23</v>
      </c>
      <c r="B11" s="10">
        <f t="shared" ref="B11:M11" si="0">SUM(B6:B10)</f>
        <v>21</v>
      </c>
      <c r="C11" s="10">
        <f t="shared" si="0"/>
        <v>4</v>
      </c>
      <c r="D11" s="10">
        <f t="shared" si="0"/>
        <v>6</v>
      </c>
      <c r="E11" s="10">
        <f t="shared" si="0"/>
        <v>5</v>
      </c>
      <c r="F11" s="10">
        <f t="shared" si="0"/>
        <v>6</v>
      </c>
      <c r="G11" s="10">
        <f t="shared" si="0"/>
        <v>0</v>
      </c>
      <c r="H11" s="10">
        <f t="shared" si="0"/>
        <v>0</v>
      </c>
      <c r="I11" s="10">
        <f t="shared" si="0"/>
        <v>0</v>
      </c>
      <c r="J11" s="10">
        <f t="shared" si="0"/>
        <v>0</v>
      </c>
      <c r="K11" s="10">
        <f t="shared" si="0"/>
        <v>0</v>
      </c>
      <c r="L11" s="10">
        <f t="shared" si="0"/>
        <v>21</v>
      </c>
      <c r="M11" s="10">
        <f t="shared" si="0"/>
        <v>0</v>
      </c>
    </row>
    <row r="13" spans="1:13" x14ac:dyDescent="0.35">
      <c r="A13" s="11" t="s">
        <v>24</v>
      </c>
      <c r="B13" s="8">
        <f>B11</f>
        <v>21</v>
      </c>
      <c r="C13" s="8">
        <f>IF(COUNT(C6:C10)=0,NA(),$B$11-SUM($C$6:C$10))</f>
        <v>17</v>
      </c>
      <c r="D13" s="8">
        <f>IF(COUNT(D6:D10)=0,NA(),$B$11-SUM($C$6:D$10))</f>
        <v>11</v>
      </c>
      <c r="E13" s="8">
        <f>IF(COUNT(E6:E10)=0,NA(),$B$11-SUM($C$6:E$10))</f>
        <v>6</v>
      </c>
      <c r="F13" s="8">
        <f>IF(COUNT(F6:F10)=0,NA(),$B$11-SUM($C$6:F$10))</f>
        <v>0</v>
      </c>
      <c r="G13" s="8" t="e">
        <f>IF(COUNT(G6:G10)=0,NA(),$B$11-SUM($C$6:G$10))</f>
        <v>#N/A</v>
      </c>
      <c r="H13" s="8" t="e">
        <f>IF(COUNT(H6:H10)=0,NA(),$B$11-SUM($C$6:H$10))</f>
        <v>#N/A</v>
      </c>
      <c r="I13" s="8" t="e">
        <f>IF(COUNT(I6:I10)=0,NA(),$B$11-SUM($C$6:I$10))</f>
        <v>#N/A</v>
      </c>
      <c r="J13" s="8" t="e">
        <f>IF(COUNT(J6:J10)=0,NA(),$B$11-SUM($C$6:J$10))</f>
        <v>#N/A</v>
      </c>
      <c r="K13" s="8" t="e">
        <f>IF(COUNT(K6:K10)=0,NA(),$B$11-SUM($C$6:K$10))</f>
        <v>#N/A</v>
      </c>
    </row>
    <row r="14" spans="1:13" x14ac:dyDescent="0.35">
      <c r="A14" s="11" t="s">
        <v>25</v>
      </c>
      <c r="B14" s="8">
        <f>B11</f>
        <v>21</v>
      </c>
      <c r="C14" s="8">
        <f>ROUND($B$11-$B$11*1/9,2)</f>
        <v>18.670000000000002</v>
      </c>
      <c r="D14" s="8">
        <f>ROUND($B$11-$B$11*2/9,2)</f>
        <v>16.329999999999998</v>
      </c>
      <c r="E14" s="8">
        <f>ROUND($B$11-$B$11*3/9,2)</f>
        <v>14</v>
      </c>
      <c r="F14" s="8">
        <f>ROUND($B$11-$B$11*4/9,2)</f>
        <v>11.67</v>
      </c>
      <c r="G14" s="8">
        <f>ROUND($B$11-$B$11*5/9,2)</f>
        <v>9.33</v>
      </c>
      <c r="H14" s="8">
        <f>ROUND($B$11-$B$11*6/9,2)</f>
        <v>7</v>
      </c>
      <c r="I14" s="8">
        <f>ROUND($B$11-$B$11*7/9,2)</f>
        <v>4.67</v>
      </c>
      <c r="J14" s="8">
        <f>ROUND($B$11-$B$11*8/9,2)</f>
        <v>2.33</v>
      </c>
      <c r="K14" s="8">
        <f>ROUND($B$11-$B$11*9/9,2)</f>
        <v>0</v>
      </c>
    </row>
    <row r="16" spans="1:13" x14ac:dyDescent="0.35">
      <c r="A16" s="12" t="s">
        <v>26</v>
      </c>
    </row>
    <row r="17" spans="1:1" x14ac:dyDescent="0.35">
      <c r="A17" t="s">
        <v>46</v>
      </c>
    </row>
    <row r="18" spans="1:1" x14ac:dyDescent="0.35">
      <c r="A18" t="s">
        <v>47</v>
      </c>
    </row>
    <row r="19" spans="1:1" x14ac:dyDescent="0.35">
      <c r="A19" t="s">
        <v>48</v>
      </c>
    </row>
  </sheetData>
  <mergeCells count="4">
    <mergeCell ref="L4:L5"/>
    <mergeCell ref="C4:K4"/>
    <mergeCell ref="A4:A5"/>
    <mergeCell ref="M4:M5"/>
  </mergeCells>
  <conditionalFormatting sqref="C13:K13">
    <cfRule type="expression" dxfId="3" priority="1">
      <formula>ISNA(C13)</formula>
    </cfRule>
  </conditionalFormatting>
  <pageMargins left="0.75" right="0.75" top="1" bottom="1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zoomScale="85" zoomScaleNormal="85" workbookViewId="0">
      <pane xSplit="2" ySplit="5" topLeftCell="C15" activePane="bottomRight" state="frozen"/>
      <selection pane="topRight"/>
      <selection pane="bottomLeft"/>
      <selection pane="bottomRight" activeCell="M24" sqref="M24"/>
    </sheetView>
  </sheetViews>
  <sheetFormatPr baseColWidth="10" defaultColWidth="8.7265625" defaultRowHeight="14.5" x14ac:dyDescent="0.35"/>
  <cols>
    <col min="1" max="1" width="36" customWidth="1"/>
    <col min="2" max="2" width="11" customWidth="1"/>
    <col min="3" max="12" width="7" customWidth="1"/>
    <col min="13" max="13" width="11" customWidth="1"/>
    <col min="14" max="14" width="10" customWidth="1"/>
  </cols>
  <sheetData>
    <row r="1" spans="1:14" ht="18.5" x14ac:dyDescent="0.45">
      <c r="A1" s="1" t="s">
        <v>49</v>
      </c>
      <c r="J1" s="2" t="s">
        <v>1</v>
      </c>
    </row>
    <row r="2" spans="1:14" x14ac:dyDescent="0.35">
      <c r="A2" s="3" t="s">
        <v>50</v>
      </c>
    </row>
    <row r="4" spans="1:14" ht="30" customHeight="1" x14ac:dyDescent="0.35">
      <c r="A4" s="13" t="s">
        <v>3</v>
      </c>
      <c r="B4" s="4" t="s">
        <v>4</v>
      </c>
      <c r="C4" s="13" t="s">
        <v>5</v>
      </c>
      <c r="D4" s="13"/>
      <c r="E4" s="13"/>
      <c r="F4" s="13"/>
      <c r="G4" s="13"/>
      <c r="H4" s="13"/>
      <c r="I4" s="13"/>
      <c r="J4" s="13"/>
      <c r="K4" s="13"/>
      <c r="L4" s="13"/>
      <c r="M4" s="13" t="s">
        <v>6</v>
      </c>
      <c r="N4" s="13" t="s">
        <v>7</v>
      </c>
    </row>
    <row r="5" spans="1:14" x14ac:dyDescent="0.35">
      <c r="A5" s="14"/>
      <c r="B5" s="4" t="s">
        <v>8</v>
      </c>
      <c r="C5" s="4" t="s">
        <v>51</v>
      </c>
      <c r="D5" s="4" t="s">
        <v>52</v>
      </c>
      <c r="E5" s="4" t="s">
        <v>53</v>
      </c>
      <c r="F5" s="4" t="s">
        <v>54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60</v>
      </c>
      <c r="M5" s="14"/>
      <c r="N5" s="14"/>
    </row>
    <row r="6" spans="1:14" x14ac:dyDescent="0.35">
      <c r="A6" s="5" t="s">
        <v>22</v>
      </c>
      <c r="B6" s="6">
        <v>1</v>
      </c>
      <c r="C6" s="7"/>
      <c r="D6" s="7"/>
      <c r="E6" s="7"/>
      <c r="F6" s="7"/>
      <c r="G6" s="7"/>
      <c r="H6" s="7"/>
      <c r="I6" s="7"/>
      <c r="J6" s="7"/>
      <c r="K6" s="7"/>
      <c r="L6" s="7"/>
      <c r="M6" s="8">
        <f>SUM(C6:L6)</f>
        <v>0</v>
      </c>
      <c r="N6" s="8">
        <f>B6-M6</f>
        <v>1</v>
      </c>
    </row>
    <row r="7" spans="1:14" x14ac:dyDescent="0.35">
      <c r="A7" s="5" t="s">
        <v>61</v>
      </c>
      <c r="B7" s="6">
        <v>10</v>
      </c>
      <c r="C7" s="7"/>
      <c r="D7" s="7"/>
      <c r="E7" s="7"/>
      <c r="F7" s="7"/>
      <c r="G7" s="7"/>
      <c r="H7" s="7"/>
      <c r="I7" s="7"/>
      <c r="J7" s="7"/>
      <c r="K7" s="7"/>
      <c r="L7" s="7"/>
      <c r="M7" s="8">
        <f>SUM(C7:L7)</f>
        <v>0</v>
      </c>
      <c r="N7" s="8">
        <f>B7-M7</f>
        <v>10</v>
      </c>
    </row>
    <row r="8" spans="1:14" x14ac:dyDescent="0.35">
      <c r="A8" s="9" t="s">
        <v>23</v>
      </c>
      <c r="B8" s="10">
        <f t="shared" ref="B8:N8" si="0">SUM(B6:B7)</f>
        <v>11</v>
      </c>
      <c r="C8" s="10">
        <f t="shared" si="0"/>
        <v>0</v>
      </c>
      <c r="D8" s="10">
        <f t="shared" si="0"/>
        <v>0</v>
      </c>
      <c r="E8" s="10">
        <f t="shared" si="0"/>
        <v>0</v>
      </c>
      <c r="F8" s="10">
        <f t="shared" si="0"/>
        <v>0</v>
      </c>
      <c r="G8" s="10">
        <f t="shared" si="0"/>
        <v>0</v>
      </c>
      <c r="H8" s="10">
        <f t="shared" si="0"/>
        <v>0</v>
      </c>
      <c r="I8" s="10">
        <f t="shared" si="0"/>
        <v>0</v>
      </c>
      <c r="J8" s="10">
        <f t="shared" si="0"/>
        <v>0</v>
      </c>
      <c r="K8" s="10">
        <f t="shared" si="0"/>
        <v>0</v>
      </c>
      <c r="L8" s="10">
        <f t="shared" si="0"/>
        <v>0</v>
      </c>
      <c r="M8" s="10">
        <f t="shared" si="0"/>
        <v>0</v>
      </c>
      <c r="N8" s="10">
        <f t="shared" si="0"/>
        <v>11</v>
      </c>
    </row>
    <row r="10" spans="1:14" x14ac:dyDescent="0.35">
      <c r="A10" s="11" t="s">
        <v>24</v>
      </c>
      <c r="B10" s="8">
        <f>B8</f>
        <v>11</v>
      </c>
      <c r="C10" s="8" t="e">
        <f>IF(COUNT(C6:C7)=0,NA(),$B$8-SUM($C$6:C$7))</f>
        <v>#N/A</v>
      </c>
      <c r="D10" s="8" t="e">
        <f>IF(COUNT(D6:D7)=0,NA(),$B$8-SUM($C$6:D$7))</f>
        <v>#N/A</v>
      </c>
      <c r="E10" s="8" t="e">
        <f>IF(COUNT(E6:E7)=0,NA(),$B$8-SUM($C$6:E$7))</f>
        <v>#N/A</v>
      </c>
      <c r="F10" s="8" t="e">
        <f>IF(COUNT(F6:F7)=0,NA(),$B$8-SUM($C$6:F$7))</f>
        <v>#N/A</v>
      </c>
      <c r="G10" s="8" t="e">
        <f>IF(COUNT(G6:G7)=0,NA(),$B$8-SUM($C$6:G$7))</f>
        <v>#N/A</v>
      </c>
      <c r="H10" s="8" t="e">
        <f>IF(COUNT(H6:H7)=0,NA(),$B$8-SUM($C$6:H$7))</f>
        <v>#N/A</v>
      </c>
      <c r="I10" s="8" t="e">
        <f>IF(COUNT(I6:I7)=0,NA(),$B$8-SUM($C$6:I$7))</f>
        <v>#N/A</v>
      </c>
      <c r="J10" s="8" t="e">
        <f>IF(COUNT(J6:J7)=0,NA(),$B$8-SUM($C$6:J$7))</f>
        <v>#N/A</v>
      </c>
      <c r="K10" s="8" t="e">
        <f>IF(COUNT(K6:K7)=0,NA(),$B$8-SUM($C$6:K$7))</f>
        <v>#N/A</v>
      </c>
      <c r="L10" s="8" t="e">
        <f>IF(COUNT(L6:L7)=0,NA(),$B$8-SUM($C$6:L$7))</f>
        <v>#N/A</v>
      </c>
    </row>
    <row r="11" spans="1:14" x14ac:dyDescent="0.35">
      <c r="A11" s="11" t="s">
        <v>25</v>
      </c>
      <c r="B11" s="8">
        <f>B8</f>
        <v>11</v>
      </c>
      <c r="C11" s="8">
        <f>ROUND($B$8-$B$8*1/10,2)</f>
        <v>9.9</v>
      </c>
      <c r="D11" s="8">
        <f>ROUND($B$8-$B$8*2/10,2)</f>
        <v>8.8000000000000007</v>
      </c>
      <c r="E11" s="8">
        <f>ROUND($B$8-$B$8*3/10,2)</f>
        <v>7.7</v>
      </c>
      <c r="F11" s="8">
        <f>ROUND($B$8-$B$8*4/10,2)</f>
        <v>6.6</v>
      </c>
      <c r="G11" s="8">
        <f>ROUND($B$8-$B$8*5/10,2)</f>
        <v>5.5</v>
      </c>
      <c r="H11" s="8">
        <f>ROUND($B$8-$B$8*6/10,2)</f>
        <v>4.4000000000000004</v>
      </c>
      <c r="I11" s="8">
        <f>ROUND($B$8-$B$8*7/10,2)</f>
        <v>3.3</v>
      </c>
      <c r="J11" s="8">
        <f>ROUND($B$8-$B$8*8/10,2)</f>
        <v>2.2000000000000002</v>
      </c>
      <c r="K11" s="8">
        <f>ROUND($B$8-$B$8*9/10,2)</f>
        <v>1.1000000000000001</v>
      </c>
      <c r="L11" s="8">
        <f>ROUND($B$8-$B$8*10/10,2)</f>
        <v>0</v>
      </c>
    </row>
    <row r="13" spans="1:14" x14ac:dyDescent="0.35">
      <c r="A13" s="12" t="s">
        <v>26</v>
      </c>
    </row>
    <row r="14" spans="1:14" x14ac:dyDescent="0.35">
      <c r="A14" t="s">
        <v>62</v>
      </c>
    </row>
    <row r="15" spans="1:14" x14ac:dyDescent="0.35">
      <c r="A15" t="s">
        <v>63</v>
      </c>
    </row>
  </sheetData>
  <mergeCells count="4">
    <mergeCell ref="A4:A5"/>
    <mergeCell ref="C4:L4"/>
    <mergeCell ref="M4:M5"/>
    <mergeCell ref="N4:N5"/>
  </mergeCells>
  <conditionalFormatting sqref="C10:L10">
    <cfRule type="expression" dxfId="2" priority="1">
      <formula>ISNA(C10)</formula>
    </cfRule>
  </conditionalFormatting>
  <pageMargins left="0.75" right="0.75" top="1" bottom="1" header="0.5" footer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zoomScale="85" zoomScaleNormal="85" workbookViewId="0">
      <pane xSplit="2" ySplit="5" topLeftCell="C15" activePane="bottomRight" state="frozen"/>
      <selection pane="topRight"/>
      <selection pane="bottomLeft"/>
      <selection pane="bottomRight" activeCell="K29" sqref="K29"/>
    </sheetView>
  </sheetViews>
  <sheetFormatPr baseColWidth="10" defaultColWidth="8.7265625" defaultRowHeight="14.5" x14ac:dyDescent="0.35"/>
  <cols>
    <col min="1" max="1" width="36" customWidth="1"/>
    <col min="2" max="2" width="11" customWidth="1"/>
    <col min="3" max="12" width="7" customWidth="1"/>
    <col min="13" max="13" width="11" customWidth="1"/>
    <col min="14" max="14" width="10" customWidth="1"/>
  </cols>
  <sheetData>
    <row r="1" spans="1:14" ht="18.5" x14ac:dyDescent="0.45">
      <c r="A1" s="1" t="s">
        <v>64</v>
      </c>
      <c r="J1" s="2" t="s">
        <v>1</v>
      </c>
    </row>
    <row r="2" spans="1:14" x14ac:dyDescent="0.35">
      <c r="A2" s="3" t="s">
        <v>65</v>
      </c>
    </row>
    <row r="4" spans="1:14" ht="30" customHeight="1" x14ac:dyDescent="0.35">
      <c r="A4" s="13" t="s">
        <v>3</v>
      </c>
      <c r="B4" s="4" t="s">
        <v>4</v>
      </c>
      <c r="C4" s="13" t="s">
        <v>5</v>
      </c>
      <c r="D4" s="13"/>
      <c r="E4" s="13"/>
      <c r="F4" s="13"/>
      <c r="G4" s="13"/>
      <c r="H4" s="13"/>
      <c r="I4" s="13"/>
      <c r="J4" s="13"/>
      <c r="K4" s="13"/>
      <c r="L4" s="13"/>
      <c r="M4" s="13" t="s">
        <v>6</v>
      </c>
      <c r="N4" s="13" t="s">
        <v>7</v>
      </c>
    </row>
    <row r="5" spans="1:14" x14ac:dyDescent="0.35">
      <c r="A5" s="14"/>
      <c r="B5" s="4" t="s">
        <v>8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70</v>
      </c>
      <c r="H5" s="4" t="s">
        <v>71</v>
      </c>
      <c r="I5" s="4" t="s">
        <v>72</v>
      </c>
      <c r="J5" s="4" t="s">
        <v>73</v>
      </c>
      <c r="K5" s="4" t="s">
        <v>74</v>
      </c>
      <c r="L5" s="4" t="s">
        <v>75</v>
      </c>
      <c r="M5" s="14"/>
      <c r="N5" s="14"/>
    </row>
    <row r="6" spans="1:14" x14ac:dyDescent="0.35">
      <c r="A6" s="5" t="s">
        <v>76</v>
      </c>
      <c r="B6" s="6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8">
        <f>SUM(C6:L6)</f>
        <v>0</v>
      </c>
      <c r="N6" s="8">
        <f>B6-M6</f>
        <v>6</v>
      </c>
    </row>
    <row r="7" spans="1:14" x14ac:dyDescent="0.35">
      <c r="A7" s="5" t="s">
        <v>77</v>
      </c>
      <c r="B7" s="6">
        <v>8</v>
      </c>
      <c r="C7" s="7"/>
      <c r="D7" s="7"/>
      <c r="E7" s="7"/>
      <c r="F7" s="7"/>
      <c r="G7" s="7"/>
      <c r="H7" s="7"/>
      <c r="I7" s="7"/>
      <c r="J7" s="7"/>
      <c r="K7" s="7"/>
      <c r="L7" s="7"/>
      <c r="M7" s="8">
        <f>SUM(C7:L7)</f>
        <v>0</v>
      </c>
      <c r="N7" s="8">
        <f>B7-M7</f>
        <v>8</v>
      </c>
    </row>
    <row r="8" spans="1:14" x14ac:dyDescent="0.35">
      <c r="A8" s="5" t="s">
        <v>78</v>
      </c>
      <c r="B8" s="6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8">
        <f>SUM(C8:L8)</f>
        <v>0</v>
      </c>
      <c r="N8" s="8">
        <f>B8-M8</f>
        <v>6</v>
      </c>
    </row>
    <row r="9" spans="1:14" x14ac:dyDescent="0.35">
      <c r="A9" s="9" t="s">
        <v>23</v>
      </c>
      <c r="B9" s="10">
        <f t="shared" ref="B9:N9" si="0">SUM(B6:B8)</f>
        <v>20</v>
      </c>
      <c r="C9" s="10">
        <f t="shared" si="0"/>
        <v>0</v>
      </c>
      <c r="D9" s="10">
        <f t="shared" si="0"/>
        <v>0</v>
      </c>
      <c r="E9" s="10">
        <f t="shared" si="0"/>
        <v>0</v>
      </c>
      <c r="F9" s="10">
        <f t="shared" si="0"/>
        <v>0</v>
      </c>
      <c r="G9" s="10">
        <f t="shared" si="0"/>
        <v>0</v>
      </c>
      <c r="H9" s="10">
        <f t="shared" si="0"/>
        <v>0</v>
      </c>
      <c r="I9" s="10">
        <f t="shared" si="0"/>
        <v>0</v>
      </c>
      <c r="J9" s="10">
        <f t="shared" si="0"/>
        <v>0</v>
      </c>
      <c r="K9" s="10">
        <f t="shared" si="0"/>
        <v>0</v>
      </c>
      <c r="L9" s="10">
        <f t="shared" si="0"/>
        <v>0</v>
      </c>
      <c r="M9" s="10">
        <f t="shared" si="0"/>
        <v>0</v>
      </c>
      <c r="N9" s="10">
        <f t="shared" si="0"/>
        <v>20</v>
      </c>
    </row>
    <row r="11" spans="1:14" x14ac:dyDescent="0.35">
      <c r="A11" s="11" t="s">
        <v>24</v>
      </c>
      <c r="B11" s="8">
        <f>B9</f>
        <v>20</v>
      </c>
      <c r="C11" s="8" t="e">
        <f>IF(COUNT(C6:C8)=0,NA(),$B$9-SUM($C$6:C$8))</f>
        <v>#N/A</v>
      </c>
      <c r="D11" s="8" t="e">
        <f>IF(COUNT(D6:D8)=0,NA(),$B$9-SUM($C$6:D$8))</f>
        <v>#N/A</v>
      </c>
      <c r="E11" s="8" t="e">
        <f>IF(COUNT(E6:E8)=0,NA(),$B$9-SUM($C$6:E$8))</f>
        <v>#N/A</v>
      </c>
      <c r="F11" s="8" t="e">
        <f>IF(COUNT(F6:F8)=0,NA(),$B$9-SUM($C$6:F$8))</f>
        <v>#N/A</v>
      </c>
      <c r="G11" s="8" t="e">
        <f>IF(COUNT(G6:G8)=0,NA(),$B$9-SUM($C$6:G$8))</f>
        <v>#N/A</v>
      </c>
      <c r="H11" s="8" t="e">
        <f>IF(COUNT(H6:H8)=0,NA(),$B$9-SUM($C$6:H$8))</f>
        <v>#N/A</v>
      </c>
      <c r="I11" s="8" t="e">
        <f>IF(COUNT(I6:I8)=0,NA(),$B$9-SUM($C$6:I$8))</f>
        <v>#N/A</v>
      </c>
      <c r="J11" s="8" t="e">
        <f>IF(COUNT(J6:J8)=0,NA(),$B$9-SUM($C$6:J$8))</f>
        <v>#N/A</v>
      </c>
      <c r="K11" s="8" t="e">
        <f>IF(COUNT(K6:K8)=0,NA(),$B$9-SUM($C$6:K$8))</f>
        <v>#N/A</v>
      </c>
      <c r="L11" s="8" t="e">
        <f>IF(COUNT(L6:L8)=0,NA(),$B$9-SUM($C$6:L$8))</f>
        <v>#N/A</v>
      </c>
    </row>
    <row r="12" spans="1:14" x14ac:dyDescent="0.35">
      <c r="A12" s="11" t="s">
        <v>25</v>
      </c>
      <c r="B12" s="8">
        <f>B9</f>
        <v>20</v>
      </c>
      <c r="C12" s="8">
        <f>ROUND($B$9-$B$9*1/10,2)</f>
        <v>18</v>
      </c>
      <c r="D12" s="8">
        <f>ROUND($B$9-$B$9*2/10,2)</f>
        <v>16</v>
      </c>
      <c r="E12" s="8">
        <f>ROUND($B$9-$B$9*3/10,2)</f>
        <v>14</v>
      </c>
      <c r="F12" s="8">
        <f>ROUND($B$9-$B$9*4/10,2)</f>
        <v>12</v>
      </c>
      <c r="G12" s="8">
        <f>ROUND($B$9-$B$9*5/10,2)</f>
        <v>10</v>
      </c>
      <c r="H12" s="8">
        <f>ROUND($B$9-$B$9*6/10,2)</f>
        <v>8</v>
      </c>
      <c r="I12" s="8">
        <f>ROUND($B$9-$B$9*7/10,2)</f>
        <v>6</v>
      </c>
      <c r="J12" s="8">
        <f>ROUND($B$9-$B$9*8/10,2)</f>
        <v>4</v>
      </c>
      <c r="K12" s="8">
        <f>ROUND($B$9-$B$9*9/10,2)</f>
        <v>2</v>
      </c>
      <c r="L12" s="8">
        <f>ROUND($B$9-$B$9*10/10,2)</f>
        <v>0</v>
      </c>
    </row>
    <row r="14" spans="1:14" x14ac:dyDescent="0.35">
      <c r="A14" s="12" t="s">
        <v>26</v>
      </c>
    </row>
    <row r="15" spans="1:14" x14ac:dyDescent="0.35">
      <c r="A15" t="s">
        <v>79</v>
      </c>
    </row>
    <row r="16" spans="1:14" x14ac:dyDescent="0.35">
      <c r="A16" t="s">
        <v>63</v>
      </c>
    </row>
  </sheetData>
  <mergeCells count="4">
    <mergeCell ref="A4:A5"/>
    <mergeCell ref="C4:L4"/>
    <mergeCell ref="M4:M5"/>
    <mergeCell ref="N4:N5"/>
  </mergeCells>
  <conditionalFormatting sqref="C11:L11">
    <cfRule type="expression" dxfId="1" priority="1">
      <formula>ISNA(C11)</formula>
    </cfRule>
  </conditionalFormatting>
  <pageMargins left="0.75" right="0.75" top="1" bottom="1" header="0.5" footer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Views>
    <sheetView zoomScale="85" zoomScaleNormal="85" workbookViewId="0">
      <pane xSplit="2" ySplit="5" topLeftCell="C16" activePane="bottomRight" state="frozen"/>
      <selection pane="topRight"/>
      <selection pane="bottomLeft"/>
      <selection pane="bottomRight" activeCell="L24" sqref="L24"/>
    </sheetView>
  </sheetViews>
  <sheetFormatPr baseColWidth="10" defaultColWidth="8.7265625" defaultRowHeight="14.5" x14ac:dyDescent="0.35"/>
  <cols>
    <col min="1" max="1" width="36" customWidth="1"/>
    <col min="2" max="2" width="11" customWidth="1"/>
    <col min="3" max="12" width="7" customWidth="1"/>
    <col min="13" max="13" width="11" customWidth="1"/>
    <col min="14" max="14" width="10" customWidth="1"/>
  </cols>
  <sheetData>
    <row r="1" spans="1:14" ht="18.5" x14ac:dyDescent="0.45">
      <c r="A1" s="1" t="s">
        <v>80</v>
      </c>
      <c r="J1" s="2" t="s">
        <v>1</v>
      </c>
    </row>
    <row r="2" spans="1:14" x14ac:dyDescent="0.35">
      <c r="A2" s="3" t="s">
        <v>81</v>
      </c>
    </row>
    <row r="4" spans="1:14" ht="30" customHeight="1" x14ac:dyDescent="0.35">
      <c r="A4" s="13" t="s">
        <v>3</v>
      </c>
      <c r="B4" s="4" t="s">
        <v>4</v>
      </c>
      <c r="C4" s="13" t="s">
        <v>5</v>
      </c>
      <c r="D4" s="13"/>
      <c r="E4" s="13"/>
      <c r="F4" s="13"/>
      <c r="G4" s="13"/>
      <c r="H4" s="13"/>
      <c r="I4" s="13"/>
      <c r="J4" s="13"/>
      <c r="K4" s="13"/>
      <c r="L4" s="13"/>
      <c r="M4" s="13" t="s">
        <v>6</v>
      </c>
      <c r="N4" s="13" t="s">
        <v>7</v>
      </c>
    </row>
    <row r="5" spans="1:14" x14ac:dyDescent="0.35">
      <c r="A5" s="14"/>
      <c r="B5" s="4" t="s">
        <v>8</v>
      </c>
      <c r="C5" s="4" t="s">
        <v>82</v>
      </c>
      <c r="D5" s="4" t="s">
        <v>83</v>
      </c>
      <c r="E5" s="4" t="s">
        <v>84</v>
      </c>
      <c r="F5" s="4" t="s">
        <v>85</v>
      </c>
      <c r="G5" s="4" t="s">
        <v>86</v>
      </c>
      <c r="H5" s="4" t="s">
        <v>87</v>
      </c>
      <c r="I5" s="4" t="s">
        <v>88</v>
      </c>
      <c r="J5" s="4" t="s">
        <v>89</v>
      </c>
      <c r="K5" s="4" t="s">
        <v>90</v>
      </c>
      <c r="L5" s="4" t="s">
        <v>91</v>
      </c>
      <c r="M5" s="14"/>
      <c r="N5" s="14"/>
    </row>
    <row r="6" spans="1:14" x14ac:dyDescent="0.35">
      <c r="A6" s="5" t="s">
        <v>92</v>
      </c>
      <c r="B6" s="6">
        <v>6</v>
      </c>
      <c r="C6" s="7"/>
      <c r="D6" s="7"/>
      <c r="E6" s="7"/>
      <c r="F6" s="7"/>
      <c r="G6" s="7"/>
      <c r="H6" s="7"/>
      <c r="I6" s="7"/>
      <c r="J6" s="7"/>
      <c r="K6" s="7"/>
      <c r="L6" s="7"/>
      <c r="M6" s="8">
        <f>SUM(C6:L6)</f>
        <v>0</v>
      </c>
      <c r="N6" s="8">
        <f>B6-M6</f>
        <v>6</v>
      </c>
    </row>
    <row r="7" spans="1:14" x14ac:dyDescent="0.35">
      <c r="A7" s="5" t="s">
        <v>93</v>
      </c>
      <c r="B7" s="6">
        <v>4</v>
      </c>
      <c r="C7" s="7"/>
      <c r="D7" s="7"/>
      <c r="E7" s="7"/>
      <c r="F7" s="7"/>
      <c r="G7" s="7"/>
      <c r="H7" s="7"/>
      <c r="I7" s="7"/>
      <c r="J7" s="7"/>
      <c r="K7" s="7"/>
      <c r="L7" s="7"/>
      <c r="M7" s="8">
        <f>SUM(C7:L7)</f>
        <v>0</v>
      </c>
      <c r="N7" s="8">
        <f>B7-M7</f>
        <v>4</v>
      </c>
    </row>
    <row r="8" spans="1:14" x14ac:dyDescent="0.35">
      <c r="A8" s="9" t="s">
        <v>23</v>
      </c>
      <c r="B8" s="10">
        <f t="shared" ref="B8:N8" si="0">SUM(B6:B7)</f>
        <v>10</v>
      </c>
      <c r="C8" s="10">
        <f t="shared" si="0"/>
        <v>0</v>
      </c>
      <c r="D8" s="10">
        <f t="shared" si="0"/>
        <v>0</v>
      </c>
      <c r="E8" s="10">
        <f t="shared" si="0"/>
        <v>0</v>
      </c>
      <c r="F8" s="10">
        <f t="shared" si="0"/>
        <v>0</v>
      </c>
      <c r="G8" s="10">
        <f t="shared" si="0"/>
        <v>0</v>
      </c>
      <c r="H8" s="10">
        <f t="shared" si="0"/>
        <v>0</v>
      </c>
      <c r="I8" s="10">
        <f t="shared" si="0"/>
        <v>0</v>
      </c>
      <c r="J8" s="10">
        <f t="shared" si="0"/>
        <v>0</v>
      </c>
      <c r="K8" s="10">
        <f t="shared" si="0"/>
        <v>0</v>
      </c>
      <c r="L8" s="10">
        <f t="shared" si="0"/>
        <v>0</v>
      </c>
      <c r="M8" s="10">
        <f t="shared" si="0"/>
        <v>0</v>
      </c>
      <c r="N8" s="10">
        <f t="shared" si="0"/>
        <v>10</v>
      </c>
    </row>
    <row r="10" spans="1:14" x14ac:dyDescent="0.35">
      <c r="A10" s="11" t="s">
        <v>24</v>
      </c>
      <c r="B10" s="8">
        <f>B8</f>
        <v>10</v>
      </c>
      <c r="C10" s="8" t="e">
        <f>IF(COUNT(C6:C7)=0,NA(),$B$8-SUM($C$6:C$7))</f>
        <v>#N/A</v>
      </c>
      <c r="D10" s="8" t="e">
        <f>IF(COUNT(D6:D7)=0,NA(),$B$8-SUM($C$6:D$7))</f>
        <v>#N/A</v>
      </c>
      <c r="E10" s="8" t="e">
        <f>IF(COUNT(E6:E7)=0,NA(),$B$8-SUM($C$6:E$7))</f>
        <v>#N/A</v>
      </c>
      <c r="F10" s="8" t="e">
        <f>IF(COUNT(F6:F7)=0,NA(),$B$8-SUM($C$6:F$7))</f>
        <v>#N/A</v>
      </c>
      <c r="G10" s="8" t="e">
        <f>IF(COUNT(G6:G7)=0,NA(),$B$8-SUM($C$6:G$7))</f>
        <v>#N/A</v>
      </c>
      <c r="H10" s="8" t="e">
        <f>IF(COUNT(H6:H7)=0,NA(),$B$8-SUM($C$6:H$7))</f>
        <v>#N/A</v>
      </c>
      <c r="I10" s="8" t="e">
        <f>IF(COUNT(I6:I7)=0,NA(),$B$8-SUM($C$6:I$7))</f>
        <v>#N/A</v>
      </c>
      <c r="J10" s="8" t="e">
        <f>IF(COUNT(J6:J7)=0,NA(),$B$8-SUM($C$6:J$7))</f>
        <v>#N/A</v>
      </c>
      <c r="K10" s="8" t="e">
        <f>IF(COUNT(K6:K7)=0,NA(),$B$8-SUM($C$6:K$7))</f>
        <v>#N/A</v>
      </c>
      <c r="L10" s="8" t="e">
        <f>IF(COUNT(L6:L7)=0,NA(),$B$8-SUM($C$6:L$7))</f>
        <v>#N/A</v>
      </c>
    </row>
    <row r="11" spans="1:14" x14ac:dyDescent="0.35">
      <c r="A11" s="11" t="s">
        <v>25</v>
      </c>
      <c r="B11" s="8">
        <f>B8</f>
        <v>10</v>
      </c>
      <c r="C11" s="8">
        <f>ROUND($B$8-$B$8*1/10,2)</f>
        <v>9</v>
      </c>
      <c r="D11" s="8">
        <f>ROUND($B$8-$B$8*2/10,2)</f>
        <v>8</v>
      </c>
      <c r="E11" s="8">
        <f>ROUND($B$8-$B$8*3/10,2)</f>
        <v>7</v>
      </c>
      <c r="F11" s="8">
        <f>ROUND($B$8-$B$8*4/10,2)</f>
        <v>6</v>
      </c>
      <c r="G11" s="8">
        <f>ROUND($B$8-$B$8*5/10,2)</f>
        <v>5</v>
      </c>
      <c r="H11" s="8">
        <f>ROUND($B$8-$B$8*6/10,2)</f>
        <v>4</v>
      </c>
      <c r="I11" s="8">
        <f>ROUND($B$8-$B$8*7/10,2)</f>
        <v>3</v>
      </c>
      <c r="J11" s="8">
        <f>ROUND($B$8-$B$8*8/10,2)</f>
        <v>2</v>
      </c>
      <c r="K11" s="8">
        <f>ROUND($B$8-$B$8*9/10,2)</f>
        <v>1</v>
      </c>
      <c r="L11" s="8">
        <f>ROUND($B$8-$B$8*10/10,2)</f>
        <v>0</v>
      </c>
    </row>
    <row r="13" spans="1:14" x14ac:dyDescent="0.35">
      <c r="A13" s="12" t="s">
        <v>26</v>
      </c>
    </row>
    <row r="14" spans="1:14" x14ac:dyDescent="0.35">
      <c r="A14" t="s">
        <v>79</v>
      </c>
    </row>
    <row r="15" spans="1:14" x14ac:dyDescent="0.35">
      <c r="A15" t="s">
        <v>63</v>
      </c>
    </row>
  </sheetData>
  <mergeCells count="4">
    <mergeCell ref="A4:A5"/>
    <mergeCell ref="C4:L4"/>
    <mergeCell ref="M4:M5"/>
    <mergeCell ref="N4:N5"/>
  </mergeCells>
  <conditionalFormatting sqref="C10:L10">
    <cfRule type="expression" dxfId="0" priority="1">
      <formula>ISNA(C10)</formula>
    </cfRule>
  </conditionalFormatting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Sprint 1</vt:lpstr>
      <vt:lpstr>Sprint 2</vt:lpstr>
      <vt:lpstr>Sprint 3</vt:lpstr>
      <vt:lpstr>Sprint 4</vt:lpstr>
      <vt:lpstr>Sprint 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Castaneda</cp:lastModifiedBy>
  <dcterms:created xsi:type="dcterms:W3CDTF">2026-10-09T18:24:03Z</dcterms:created>
  <dcterms:modified xsi:type="dcterms:W3CDTF">2026-10-10T20:36:07Z</dcterms:modified>
</cp:coreProperties>
</file>