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print 1" sheetId="1" state="visible" r:id="rId1"/>
    <sheet xmlns:r="http://schemas.openxmlformats.org/officeDocument/2006/relationships" name="Sprint 2" sheetId="2" state="visible" r:id="rId2"/>
    <sheet xmlns:r="http://schemas.openxmlformats.org/officeDocument/2006/relationships" name="Sprint 3" sheetId="3" state="visible" r:id="rId3"/>
    <sheet xmlns:r="http://schemas.openxmlformats.org/officeDocument/2006/relationships" name="Sprint 4" sheetId="4" state="visible" r:id="rId4"/>
    <sheet xmlns:r="http://schemas.openxmlformats.org/officeDocument/2006/relationships" name="Sprint 5" sheetId="5" state="visible" r:id="rId5"/>
    <sheet xmlns:r="http://schemas.openxmlformats.org/officeDocument/2006/relationships" name="Instructivo" sheetId="6" state="visible" r:id="rId6"/>
  </sheets>
  <definedNames/>
  <calcPr calcId="124519" fullCalcOnLoad="1"/>
</workbook>
</file>

<file path=xl/styles.xml><?xml version="1.0" encoding="utf-8"?>
<styleSheet xmlns="http://schemas.openxmlformats.org/spreadsheetml/2006/main">
  <numFmts count="0"/>
  <fonts count="10">
    <font>
      <name val="Arial"/>
      <color theme="1"/>
      <sz val="11"/>
      <scheme val="minor"/>
    </font>
    <font>
      <name val="Calibri"/>
      <color theme="1"/>
      <sz val="11"/>
    </font>
    <font>
      <name val="Calibri"/>
      <b val="1"/>
      <color theme="1"/>
      <sz val="22"/>
    </font>
    <font>
      <name val="Calibri"/>
      <b val="1"/>
      <color rgb="FF1F497D"/>
      <sz val="16"/>
    </font>
    <font>
      <name val="Calibri"/>
      <color theme="0"/>
      <sz val="11"/>
    </font>
    <font/>
    <font>
      <name val="Arial"/>
      <color theme="1"/>
      <scheme val="minor"/>
    </font>
    <font>
      <name val="Calibri"/>
      <color rgb="FF000000"/>
      <sz val="11"/>
    </font>
    <font>
      <b val="1"/>
    </font>
    <font>
      <i val="1"/>
      <sz val="9"/>
    </font>
  </fonts>
  <fills count="6">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7">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pivotButton="0" quotePrefix="0" xfId="0"/>
    <xf numFmtId="0" fontId="1" fillId="2" borderId="2" applyAlignment="1" pivotButton="0" quotePrefix="0" xfId="0">
      <alignment horizontal="left" vertical="top" wrapText="1"/>
    </xf>
    <xf numFmtId="0" fontId="4" fillId="3" borderId="3" applyAlignment="1" pivotButton="0" quotePrefix="0" xfId="0">
      <alignment horizontal="center" vertical="center" wrapText="1"/>
    </xf>
    <xf numFmtId="0" fontId="5" fillId="0" borderId="4" pivotButton="0" quotePrefix="0" xfId="0"/>
    <xf numFmtId="0" fontId="4" fillId="3"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6" applyAlignment="1" pivotButton="0" quotePrefix="0" xfId="0">
      <alignment horizontal="center" vertical="center" wrapText="1"/>
    </xf>
    <xf numFmtId="0" fontId="1" fillId="2" borderId="2" applyAlignment="1" pivotButton="0" quotePrefix="0" xfId="0">
      <alignment horizontal="right" vertical="top" wrapText="1"/>
    </xf>
    <xf numFmtId="0" fontId="1" fillId="4" borderId="2" applyAlignment="1" pivotButton="0" quotePrefix="0" xfId="0">
      <alignment horizontal="right" vertical="top" wrapText="1"/>
    </xf>
    <xf numFmtId="0" fontId="1" fillId="2" borderId="2" applyAlignment="1" pivotButton="0" quotePrefix="0" xfId="0">
      <alignment horizontal="left" vertical="top" wrapText="1"/>
    </xf>
    <xf numFmtId="0" fontId="6" fillId="0" borderId="0" pivotButton="0" quotePrefix="0" xfId="0"/>
    <xf numFmtId="0" fontId="1" fillId="2" borderId="2" applyAlignment="1" pivotButton="0" quotePrefix="0" xfId="0">
      <alignment horizontal="right" vertical="top" wrapText="1"/>
    </xf>
    <xf numFmtId="0" fontId="1" fillId="5" borderId="2" applyAlignment="1" pivotButton="0" quotePrefix="0" xfId="0">
      <alignment horizontal="right" vertical="top" wrapText="1"/>
    </xf>
    <xf numFmtId="0" fontId="7" fillId="0" borderId="2" applyAlignment="1" pivotButton="0" quotePrefix="0" xfId="0">
      <alignment horizontal="left" wrapText="1"/>
    </xf>
    <xf numFmtId="0" fontId="0" fillId="0" borderId="0" pivotButton="0" quotePrefix="0" xfId="0"/>
    <xf numFmtId="0" fontId="0" fillId="0" borderId="4" pivotButton="0" quotePrefix="0" xfId="0"/>
    <xf numFmtId="0" fontId="8" fillId="2" borderId="2" applyAlignment="1" pivotButton="0" quotePrefix="0" xfId="0">
      <alignment horizontal="left" vertical="top" wrapText="1"/>
    </xf>
    <xf numFmtId="0" fontId="8" fillId="0" borderId="0" pivotButton="0" quotePrefix="0" xfId="0"/>
    <xf numFmtId="0" fontId="8" fillId="2" borderId="2" applyAlignment="1" pivotButton="0" quotePrefix="0" xfId="0">
      <alignment horizontal="right" vertical="top" wrapText="1"/>
    </xf>
    <xf numFmtId="0" fontId="8" fillId="4" borderId="2" applyAlignment="1" pivotButton="0" quotePrefix="0" xfId="0">
      <alignment horizontal="right" vertical="top" wrapText="1"/>
    </xf>
    <xf numFmtId="0" fontId="8" fillId="5" borderId="2" applyAlignment="1" pivotButton="0" quotePrefix="0" xfId="0">
      <alignment horizontal="right" vertical="top" wrapText="1"/>
    </xf>
    <xf numFmtId="0" fontId="9" fillId="2" borderId="1" pivotButton="0" quotePrefix="0" xfId="0"/>
    <xf numFmtId="0" fontId="9" fillId="2"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Q1000"/>
  <sheetViews>
    <sheetView tabSelected="1" workbookViewId="0">
      <pane xSplit="6" ySplit="5" topLeftCell="G6" activePane="bottomRight" state="frozen"/>
      <selection pane="topRight" activeCell="G1" sqref="G1"/>
      <selection pane="bottomLeft" activeCell="A6" sqref="A6"/>
      <selection pane="bottomRight" activeCell="G6" sqref="G6"/>
    </sheetView>
  </sheetViews>
  <sheetFormatPr baseColWidth="8" defaultColWidth="12.63" defaultRowHeight="15" customHeight="1"/>
  <cols>
    <col width="1.25" customWidth="1" style="18" min="1" max="1"/>
    <col width="14.38" customWidth="1" style="18" min="2" max="2"/>
    <col width="29.75" customWidth="1" style="18" min="3" max="3"/>
    <col width="18.25" customWidth="1" style="18" min="4" max="4"/>
    <col width="14"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 width="2.38" customWidth="1" style="18" min="25" max="25"/>
    <col width="5.13" customWidth="1" style="18" min="26" max="26"/>
    <col width="4.75" customWidth="1" style="18" min="27" max="27"/>
    <col width="2.38" customWidth="1" style="18" min="28" max="28"/>
    <col width="5.13" customWidth="1" style="18" min="29" max="29"/>
    <col width="4.75" customWidth="1" style="18" min="30" max="30"/>
    <col width="2.38" customWidth="1" style="18" min="31" max="31"/>
    <col width="5.13" customWidth="1" style="18" min="32" max="32"/>
    <col width="4.75" customWidth="1" style="18" min="33" max="33"/>
    <col width="2.38" customWidth="1" style="18" min="34" max="34"/>
    <col width="5.13" customWidth="1" style="18" min="35" max="35"/>
    <col width="4.75" customWidth="1" style="18" min="36" max="36"/>
    <col width="2.38" customWidth="1" style="18" min="37" max="37"/>
    <col width="5.13" customWidth="1" style="18" min="38" max="38"/>
    <col width="4.75" customWidth="1" style="18" min="39" max="39"/>
    <col width="2.38" customWidth="1" style="18" min="40" max="40"/>
    <col width="5.13" customWidth="1" style="18" min="41" max="41"/>
    <col width="4.75" customWidth="1" style="18" min="42" max="42"/>
    <col width="2.38" customWidth="1" style="18" min="43" max="43"/>
    <col width="5.13" customWidth="1" style="18" min="44" max="44"/>
    <col width="4.75" customWidth="1" style="18" min="45" max="45"/>
    <col width="2.38" customWidth="1" style="18" min="46" max="46"/>
    <col width="5.13" customWidth="1" style="18" min="47" max="47"/>
    <col width="4.75" customWidth="1" style="18" min="48" max="48"/>
    <col width="2.38" customWidth="1" style="18" min="49" max="49"/>
    <col width="5.13" customWidth="1" style="18" min="50" max="50"/>
    <col width="4.75" customWidth="1" style="18" min="51" max="51"/>
    <col width="2.38" customWidth="1" style="18" min="52" max="52"/>
    <col width="5.13" customWidth="1" style="18" min="53" max="53"/>
    <col width="4.75" customWidth="1" style="18" min="54" max="54"/>
    <col width="2.38" customWidth="1" style="18" min="55" max="55"/>
    <col width="5.13" customWidth="1" style="18" min="56" max="56"/>
    <col width="4.75" customWidth="1" style="18" min="57" max="57"/>
    <col width="2.38" customWidth="1" style="18" min="58" max="58"/>
    <col width="5.13" customWidth="1" style="18" min="59" max="59"/>
    <col width="4.75" customWidth="1" style="18" min="60" max="60"/>
    <col width="2.38" customWidth="1" style="18" min="61" max="61"/>
    <col width="5.13" customWidth="1" style="18" min="62" max="62"/>
    <col width="4.75" customWidth="1" style="18" min="63" max="63"/>
    <col width="2.38" customWidth="1" style="18" min="64" max="64"/>
    <col width="5.13" customWidth="1" style="18" min="65" max="65"/>
    <col width="4.75" customWidth="1" style="18" min="66" max="66"/>
    <col width="2.38" customWidth="1" style="18" min="67" max="67"/>
    <col width="5.13" customWidth="1" style="18" min="68" max="68"/>
    <col width="4.75" customWidth="1" style="18"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 – FireFleet – Sprint 1: 22/09/2026 al 05/10/2026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c r="A4" s="1" t="n"/>
      <c r="B4" s="1" t="n"/>
      <c r="C4" s="1" t="n"/>
      <c r="D4" s="1" t="n"/>
      <c r="E4" s="1" t="n"/>
      <c r="F4" s="1" t="n"/>
      <c r="G4" s="1" t="n"/>
      <c r="H4" s="9" t="inlineStr">
        <is>
          <t>Día 1 (22/09)</t>
        </is>
      </c>
      <c r="I4" s="19" t="n"/>
      <c r="J4" s="8" t="n"/>
      <c r="K4" s="9" t="inlineStr">
        <is>
          <t>Día 2 (23/09)</t>
        </is>
      </c>
      <c r="L4" s="19" t="n"/>
      <c r="M4" s="8" t="n"/>
      <c r="N4" s="9" t="inlineStr">
        <is>
          <t>Día 3 (24/09)</t>
        </is>
      </c>
      <c r="O4" s="19" t="n"/>
      <c r="P4" s="8" t="n"/>
      <c r="Q4" s="9" t="inlineStr">
        <is>
          <t>Día 4 (25/09)</t>
        </is>
      </c>
      <c r="R4" s="19" t="n"/>
      <c r="S4" s="8" t="n"/>
      <c r="T4" s="9" t="inlineStr">
        <is>
          <t>Día 5 (28/09)</t>
        </is>
      </c>
      <c r="U4" s="19" t="n"/>
      <c r="V4" s="8" t="n"/>
      <c r="W4" s="9" t="inlineStr">
        <is>
          <t>Día 6 (29/09)</t>
        </is>
      </c>
      <c r="X4" s="19" t="n"/>
      <c r="Y4" s="8" t="n"/>
      <c r="Z4" s="9" t="inlineStr">
        <is>
          <t>Día 7 (30/09)</t>
        </is>
      </c>
      <c r="AA4" s="19" t="n"/>
      <c r="AB4" s="8" t="n"/>
      <c r="AC4" s="9" t="inlineStr">
        <is>
          <t>Día 8 (01/10)</t>
        </is>
      </c>
      <c r="AD4" s="19" t="n"/>
      <c r="AE4" s="8" t="n"/>
      <c r="AF4" s="9" t="inlineStr">
        <is>
          <t>Día 9 (02/10)</t>
        </is>
      </c>
      <c r="AG4" s="19" t="n"/>
      <c r="AH4" s="8" t="n"/>
      <c r="AI4" s="9" t="inlineStr">
        <is>
          <t>Día 10 (05/10)</t>
        </is>
      </c>
      <c r="AJ4" s="19" t="n"/>
      <c r="AK4" s="8" t="n"/>
      <c r="AL4" s="9" t="n"/>
      <c r="AM4" s="19" t="n"/>
      <c r="AN4" s="8" t="n"/>
      <c r="AO4" s="9" t="n"/>
      <c r="AP4" s="19" t="n"/>
      <c r="AQ4" s="8" t="n"/>
      <c r="AR4" s="9" t="n"/>
      <c r="AS4" s="19" t="n"/>
      <c r="AT4" s="8" t="n"/>
      <c r="AU4" s="9" t="n"/>
      <c r="AV4" s="19" t="n"/>
      <c r="AW4" s="8" t="n"/>
      <c r="AX4" s="9" t="n"/>
      <c r="AY4" s="19" t="n"/>
      <c r="AZ4" s="8" t="n"/>
      <c r="BA4" s="9" t="n"/>
      <c r="BB4" s="19" t="n"/>
      <c r="BC4" s="8" t="n"/>
      <c r="BD4" s="9" t="n"/>
      <c r="BE4" s="19" t="n"/>
      <c r="BF4" s="8" t="n"/>
      <c r="BG4" s="9" t="n"/>
      <c r="BH4" s="19" t="n"/>
      <c r="BI4" s="8" t="n"/>
      <c r="BJ4" s="9" t="n"/>
      <c r="BK4" s="19" t="n"/>
      <c r="BL4" s="8" t="n"/>
      <c r="BM4" s="9" t="n"/>
      <c r="BN4" s="19" t="n"/>
      <c r="BO4" s="8" t="n"/>
      <c r="BP4" s="9" t="inlineStr">
        <is>
          <t>Total</t>
        </is>
      </c>
      <c r="BQ4" s="19" t="n"/>
    </row>
    <row r="5">
      <c r="A5" s="1" t="n"/>
      <c r="B5" s="9" t="inlineStr">
        <is>
          <t>Identificador (ID) de item de product backlog</t>
        </is>
      </c>
      <c r="C5" s="9" t="inlineStr">
        <is>
          <t>Enunciado del item de Product Backlog</t>
        </is>
      </c>
      <c r="D5" s="9" t="inlineStr">
        <is>
          <t>Tarea</t>
        </is>
      </c>
      <c r="E5" s="9" t="inlineStr">
        <is>
          <t>Dueño / Voluntario</t>
        </is>
      </c>
      <c r="F5" s="9" t="inlineStr">
        <is>
          <t>Estatus</t>
        </is>
      </c>
      <c r="G5" s="9" t="inlineStr">
        <is>
          <t>Horas estimadas totales</t>
        </is>
      </c>
      <c r="H5" s="10" t="inlineStr">
        <is>
          <t>Cons.</t>
        </is>
      </c>
      <c r="I5" s="10" t="inlineStr">
        <is>
          <t>Rest.</t>
        </is>
      </c>
      <c r="J5" s="10" t="n"/>
      <c r="K5" s="10" t="inlineStr">
        <is>
          <t>Cons.</t>
        </is>
      </c>
      <c r="L5" s="10" t="inlineStr">
        <is>
          <t>Rest.</t>
        </is>
      </c>
      <c r="M5" s="10" t="n"/>
      <c r="N5" s="10" t="inlineStr">
        <is>
          <t>Cons.</t>
        </is>
      </c>
      <c r="O5" s="10" t="inlineStr">
        <is>
          <t>Rest.</t>
        </is>
      </c>
      <c r="P5" s="10" t="n"/>
      <c r="Q5" s="10" t="inlineStr">
        <is>
          <t>Cons.</t>
        </is>
      </c>
      <c r="R5" s="10" t="inlineStr">
        <is>
          <t>Rest.</t>
        </is>
      </c>
      <c r="S5" s="10" t="n"/>
      <c r="T5" s="10" t="inlineStr">
        <is>
          <t>Cons.</t>
        </is>
      </c>
      <c r="U5" s="10" t="inlineStr">
        <is>
          <t>Rest.</t>
        </is>
      </c>
      <c r="V5" s="10" t="n"/>
      <c r="W5" s="10" t="inlineStr">
        <is>
          <t>Cons.</t>
        </is>
      </c>
      <c r="X5" s="10" t="inlineStr">
        <is>
          <t>Rest.</t>
        </is>
      </c>
      <c r="Y5" s="10" t="n"/>
      <c r="Z5" s="10" t="inlineStr">
        <is>
          <t>Cons.</t>
        </is>
      </c>
      <c r="AA5" s="10" t="inlineStr">
        <is>
          <t>Rest.</t>
        </is>
      </c>
      <c r="AB5" s="10" t="n"/>
      <c r="AC5" s="10" t="inlineStr">
        <is>
          <t>Cons.</t>
        </is>
      </c>
      <c r="AD5" s="10" t="inlineStr">
        <is>
          <t>Rest.</t>
        </is>
      </c>
      <c r="AE5" s="10" t="n"/>
      <c r="AF5" s="10" t="inlineStr">
        <is>
          <t>Cons.</t>
        </is>
      </c>
      <c r="AG5" s="10" t="inlineStr">
        <is>
          <t>Rest.</t>
        </is>
      </c>
      <c r="AH5" s="10" t="n"/>
      <c r="AI5" s="10" t="inlineStr">
        <is>
          <t>Cons.</t>
        </is>
      </c>
      <c r="AJ5" s="10" t="inlineStr">
        <is>
          <t>Rest.</t>
        </is>
      </c>
      <c r="AK5" s="10" t="n"/>
      <c r="AL5" s="10" t="inlineStr">
        <is>
          <t>Cons.</t>
        </is>
      </c>
      <c r="AM5" s="10" t="inlineStr">
        <is>
          <t>Rest.</t>
        </is>
      </c>
      <c r="AN5" s="10" t="n"/>
      <c r="AO5" s="10" t="inlineStr">
        <is>
          <t>Cons.</t>
        </is>
      </c>
      <c r="AP5" s="10" t="inlineStr">
        <is>
          <t>Rest.</t>
        </is>
      </c>
      <c r="AQ5" s="10" t="n"/>
      <c r="AR5" s="10" t="inlineStr">
        <is>
          <t>Cons.</t>
        </is>
      </c>
      <c r="AS5" s="10" t="inlineStr">
        <is>
          <t>Rest.</t>
        </is>
      </c>
      <c r="AT5" s="10" t="n"/>
      <c r="AU5" s="10" t="inlineStr">
        <is>
          <t>Cons.</t>
        </is>
      </c>
      <c r="AV5" s="10" t="inlineStr">
        <is>
          <t>Rest.</t>
        </is>
      </c>
      <c r="AW5" s="10" t="n"/>
      <c r="AX5" s="10" t="inlineStr">
        <is>
          <t>Cons.</t>
        </is>
      </c>
      <c r="AY5" s="10" t="inlineStr">
        <is>
          <t>Rest.</t>
        </is>
      </c>
      <c r="AZ5" s="10" t="n"/>
      <c r="BA5" s="10" t="inlineStr">
        <is>
          <t>Cons.</t>
        </is>
      </c>
      <c r="BB5" s="10" t="inlineStr">
        <is>
          <t>Rest.</t>
        </is>
      </c>
      <c r="BC5" s="10" t="n"/>
      <c r="BD5" s="10" t="inlineStr">
        <is>
          <t>Cons.</t>
        </is>
      </c>
      <c r="BE5" s="10" t="inlineStr">
        <is>
          <t>Rest.</t>
        </is>
      </c>
      <c r="BF5" s="10" t="n"/>
      <c r="BG5" s="10" t="inlineStr">
        <is>
          <t>Cons.</t>
        </is>
      </c>
      <c r="BH5" s="10" t="inlineStr">
        <is>
          <t>Rest.</t>
        </is>
      </c>
      <c r="BI5" s="10" t="n"/>
      <c r="BJ5" s="10" t="inlineStr">
        <is>
          <t>Cons.</t>
        </is>
      </c>
      <c r="BK5" s="10" t="inlineStr">
        <is>
          <t>Rest.</t>
        </is>
      </c>
      <c r="BL5" s="10" t="n"/>
      <c r="BM5" s="10" t="inlineStr">
        <is>
          <t>Cons.</t>
        </is>
      </c>
      <c r="BN5" s="10" t="inlineStr">
        <is>
          <t>Rest.</t>
        </is>
      </c>
      <c r="BO5" s="10" t="n"/>
      <c r="BP5" s="10" t="inlineStr">
        <is>
          <t>Cons.</t>
        </is>
      </c>
      <c r="BQ5" s="10" t="inlineStr">
        <is>
          <t>Rest.</t>
        </is>
      </c>
    </row>
    <row r="6">
      <c r="A6" s="1" t="n"/>
      <c r="B6" s="13" t="inlineStr">
        <is>
          <t>HU-07</t>
        </is>
      </c>
      <c r="C6" s="13" t="inlineStr">
        <is>
          <t>Como un Bombero usuario del sistema, necesito iniciar sesión con mis credenciales, con la finalidad de autenticarme y que quede registrado quién realiza cada acción.</t>
        </is>
      </c>
      <c r="D6" s="13" t="inlineStr">
        <is>
          <t>T1 Crear modelo BD Usuario</t>
        </is>
      </c>
      <c r="E6" s="14" t="inlineStr">
        <is>
          <t>Equipo Scrum</t>
        </is>
      </c>
      <c r="F6" s="13" t="inlineStr">
        <is>
          <t>Hecho</t>
        </is>
      </c>
      <c r="G6" s="13" t="n">
        <v>1</v>
      </c>
      <c r="H6" s="15" t="n">
        <v>1</v>
      </c>
      <c r="I6" s="15">
        <f>G6-H6</f>
        <v/>
      </c>
      <c r="J6" s="12" t="n"/>
      <c r="K6" s="15" t="n"/>
      <c r="L6" s="15">
        <f>I6-K6</f>
        <v/>
      </c>
      <c r="M6" s="12" t="n"/>
      <c r="N6" s="15" t="n"/>
      <c r="O6" s="15">
        <f>L6-N6</f>
        <v/>
      </c>
      <c r="P6" s="12" t="n"/>
      <c r="Q6" s="15" t="n"/>
      <c r="R6" s="15">
        <f>O6-Q6</f>
        <v/>
      </c>
      <c r="S6" s="12" t="n"/>
      <c r="T6" s="15" t="n"/>
      <c r="U6" s="15">
        <f>R6-T6</f>
        <v/>
      </c>
      <c r="V6" s="12" t="n"/>
      <c r="W6" s="15" t="n"/>
      <c r="X6" s="15">
        <f>U6-W6</f>
        <v/>
      </c>
      <c r="Y6" s="12" t="n"/>
      <c r="Z6" s="15" t="n"/>
      <c r="AA6" s="15">
        <f>X6-Z6</f>
        <v/>
      </c>
      <c r="AB6" s="12" t="n"/>
      <c r="AC6" s="15" t="n"/>
      <c r="AD6" s="15">
        <f>AA6-AC6</f>
        <v/>
      </c>
      <c r="AE6" s="12" t="n"/>
      <c r="AF6" s="15" t="n"/>
      <c r="AG6" s="15">
        <f>AD6-AF6</f>
        <v/>
      </c>
      <c r="AH6" s="12" t="n"/>
      <c r="AI6" s="15" t="n"/>
      <c r="AJ6" s="15">
        <f>AG6-AI6</f>
        <v/>
      </c>
      <c r="AK6" s="12" t="n"/>
      <c r="AL6" s="15" t="n"/>
      <c r="AM6" s="15">
        <f>AJ6-AL6</f>
        <v/>
      </c>
      <c r="AN6" s="12" t="n"/>
      <c r="AO6" s="15" t="n"/>
      <c r="AP6" s="15">
        <f>AM6-AO6</f>
        <v/>
      </c>
      <c r="AQ6" s="12" t="n"/>
      <c r="AR6" s="15" t="n"/>
      <c r="AS6" s="15">
        <f>AP6-AR6</f>
        <v/>
      </c>
      <c r="AT6" s="12" t="n"/>
      <c r="AU6" s="15" t="n"/>
      <c r="AV6" s="15">
        <f>AS6-AU6</f>
        <v/>
      </c>
      <c r="AW6" s="12" t="n"/>
      <c r="AX6" s="15" t="n"/>
      <c r="AY6" s="15">
        <f>AV6-AX6</f>
        <v/>
      </c>
      <c r="AZ6" s="12" t="n"/>
      <c r="BA6" s="15" t="n"/>
      <c r="BB6" s="15">
        <f>AY6-BA6</f>
        <v/>
      </c>
      <c r="BC6" s="12" t="n"/>
      <c r="BD6" s="15" t="n"/>
      <c r="BE6" s="15">
        <f>BB6-BD6</f>
        <v/>
      </c>
      <c r="BF6" s="12" t="n"/>
      <c r="BG6" s="15" t="n"/>
      <c r="BH6" s="15">
        <f>BE6-BG6</f>
        <v/>
      </c>
      <c r="BI6" s="12" t="n"/>
      <c r="BJ6" s="15" t="n"/>
      <c r="BK6" s="15">
        <f>BH6-BJ6</f>
        <v/>
      </c>
      <c r="BL6" s="12" t="n"/>
      <c r="BM6" s="15" t="n"/>
      <c r="BN6" s="15">
        <f>BK6-BM6</f>
        <v/>
      </c>
      <c r="BO6" s="12" t="n"/>
      <c r="BP6" s="16">
        <f>H6+K6+N6+Q6+T6+W6+Z6+AC6+AF6+AI6+AL6+AO6+AR6+AU6+AX6+BA6+BD6+BG6+BJ6+BM6</f>
        <v/>
      </c>
      <c r="BQ6" s="16">
        <f>G6-BP6</f>
        <v/>
      </c>
    </row>
    <row r="7">
      <c r="A7" s="1" t="n"/>
      <c r="B7" s="13" t="inlineStr">
        <is>
          <t>HU-07</t>
        </is>
      </c>
      <c r="C7" s="13" t="inlineStr">
        <is>
          <t>Como un Bombero usuario del sistema, necesito iniciar sesión con mis credenciales, con la finalidad de autenticarme y que quede registrado quién realiza cada acción.</t>
        </is>
      </c>
      <c r="D7" s="13" t="inlineStr">
        <is>
          <t>T2 Crear interfaz de inicio de sesión</t>
        </is>
      </c>
      <c r="E7" s="14" t="inlineStr">
        <is>
          <t>Equipo Scrum</t>
        </is>
      </c>
      <c r="F7" s="13" t="inlineStr">
        <is>
          <t>Hecho</t>
        </is>
      </c>
      <c r="G7" s="13" t="n">
        <v>1</v>
      </c>
      <c r="H7" s="15" t="n"/>
      <c r="I7" s="15">
        <f>G7-H7</f>
        <v/>
      </c>
      <c r="J7" s="12" t="n"/>
      <c r="K7" s="15" t="n">
        <v>1</v>
      </c>
      <c r="L7" s="15">
        <f>I7-K7</f>
        <v/>
      </c>
      <c r="M7" s="12" t="n"/>
      <c r="N7" s="15" t="n"/>
      <c r="O7" s="15">
        <f>L7-N7</f>
        <v/>
      </c>
      <c r="P7" s="12" t="n"/>
      <c r="Q7" s="15" t="n"/>
      <c r="R7" s="15">
        <f>O7-Q7</f>
        <v/>
      </c>
      <c r="S7" s="12" t="n"/>
      <c r="T7" s="15" t="n"/>
      <c r="U7" s="15">
        <f>R7-T7</f>
        <v/>
      </c>
      <c r="V7" s="12" t="n"/>
      <c r="W7" s="15" t="n"/>
      <c r="X7" s="15">
        <f>U7-W7</f>
        <v/>
      </c>
      <c r="Y7" s="12" t="n"/>
      <c r="Z7" s="15" t="n"/>
      <c r="AA7" s="15">
        <f>X7-Z7</f>
        <v/>
      </c>
      <c r="AB7" s="12" t="n"/>
      <c r="AC7" s="15" t="n"/>
      <c r="AD7" s="15">
        <f>AA7-AC7</f>
        <v/>
      </c>
      <c r="AE7" s="12" t="n"/>
      <c r="AF7" s="15" t="n"/>
      <c r="AG7" s="15">
        <f>AD7-AF7</f>
        <v/>
      </c>
      <c r="AH7" s="12" t="n"/>
      <c r="AI7" s="15" t="n"/>
      <c r="AJ7" s="15">
        <f>AG7-AI7</f>
        <v/>
      </c>
      <c r="AK7" s="12" t="n"/>
      <c r="AL7" s="15" t="n"/>
      <c r="AM7" s="15">
        <f>AJ7-AL7</f>
        <v/>
      </c>
      <c r="AN7" s="12" t="n"/>
      <c r="AO7" s="15" t="n"/>
      <c r="AP7" s="15">
        <f>AM7-AO7</f>
        <v/>
      </c>
      <c r="AQ7" s="12" t="n"/>
      <c r="AR7" s="15" t="n"/>
      <c r="AS7" s="15">
        <f>AP7-AR7</f>
        <v/>
      </c>
      <c r="AT7" s="12" t="n"/>
      <c r="AU7" s="15" t="n"/>
      <c r="AV7" s="15">
        <f>AS7-AU7</f>
        <v/>
      </c>
      <c r="AW7" s="12" t="n"/>
      <c r="AX7" s="15" t="n"/>
      <c r="AY7" s="15">
        <f>AV7-AX7</f>
        <v/>
      </c>
      <c r="AZ7" s="12" t="n"/>
      <c r="BA7" s="15" t="n"/>
      <c r="BB7" s="15">
        <f>AY7-BA7</f>
        <v/>
      </c>
      <c r="BC7" s="12" t="n"/>
      <c r="BD7" s="15" t="n"/>
      <c r="BE7" s="15">
        <f>BB7-BD7</f>
        <v/>
      </c>
      <c r="BF7" s="12" t="n"/>
      <c r="BG7" s="15" t="n"/>
      <c r="BH7" s="15">
        <f>BE7-BG7</f>
        <v/>
      </c>
      <c r="BI7" s="12" t="n"/>
      <c r="BJ7" s="15" t="n"/>
      <c r="BK7" s="15">
        <f>BH7-BJ7</f>
        <v/>
      </c>
      <c r="BL7" s="12" t="n"/>
      <c r="BM7" s="15" t="n"/>
      <c r="BN7" s="15">
        <f>BK7-BM7</f>
        <v/>
      </c>
      <c r="BO7" s="12" t="n"/>
      <c r="BP7" s="16">
        <f>H7+K7+N7+Q7+T7+W7+Z7+AC7+AF7+AI7+AL7+AO7+AR7+AU7+AX7+BA7+BD7+BG7+BJ7+BM7</f>
        <v/>
      </c>
      <c r="BQ7" s="16">
        <f>G7-BP7</f>
        <v/>
      </c>
    </row>
    <row r="8">
      <c r="A8" s="1" t="n"/>
      <c r="B8" s="13" t="inlineStr">
        <is>
          <t>HU-01</t>
        </is>
      </c>
      <c r="C8" s="13" t="inlineStr">
        <is>
          <t>Como un Bombero Encargado de Flota, necesito registrar una mantención del vehículo, con la finalidad de llevar un historial de las mantenciones de cada carro.</t>
        </is>
      </c>
      <c r="D8" s="13" t="inlineStr">
        <is>
          <t>T3 Crear modelo BD Mantención</t>
        </is>
      </c>
      <c r="E8" s="14" t="inlineStr">
        <is>
          <t>Equipo Scrum</t>
        </is>
      </c>
      <c r="F8" s="13" t="inlineStr">
        <is>
          <t>Hecho</t>
        </is>
      </c>
      <c r="G8" s="13" t="n">
        <v>3</v>
      </c>
      <c r="H8" s="15" t="n"/>
      <c r="I8" s="15">
        <f>G8-H8</f>
        <v/>
      </c>
      <c r="J8" s="12" t="n"/>
      <c r="K8" s="15" t="n"/>
      <c r="L8" s="15">
        <f>I8-K8</f>
        <v/>
      </c>
      <c r="M8" s="12" t="n"/>
      <c r="N8" s="15" t="n">
        <v>2</v>
      </c>
      <c r="O8" s="15">
        <f>L8-N8</f>
        <v/>
      </c>
      <c r="P8" s="12" t="n"/>
      <c r="Q8" s="15" t="n">
        <v>1</v>
      </c>
      <c r="R8" s="15">
        <f>O8-Q8</f>
        <v/>
      </c>
      <c r="S8" s="12" t="n"/>
      <c r="T8" s="15" t="n"/>
      <c r="U8" s="15">
        <f>R8-T8</f>
        <v/>
      </c>
      <c r="V8" s="12" t="n"/>
      <c r="W8" s="15" t="n"/>
      <c r="X8" s="15">
        <f>U8-W8</f>
        <v/>
      </c>
      <c r="Y8" s="12" t="n"/>
      <c r="Z8" s="15" t="n"/>
      <c r="AA8" s="15">
        <f>X8-Z8</f>
        <v/>
      </c>
      <c r="AB8" s="12" t="n"/>
      <c r="AC8" s="15" t="n"/>
      <c r="AD8" s="15">
        <f>AA8-AC8</f>
        <v/>
      </c>
      <c r="AE8" s="12" t="n"/>
      <c r="AF8" s="15" t="n"/>
      <c r="AG8" s="15">
        <f>AD8-AF8</f>
        <v/>
      </c>
      <c r="AH8" s="12" t="n"/>
      <c r="AI8" s="15" t="n"/>
      <c r="AJ8" s="15">
        <f>AG8-AI8</f>
        <v/>
      </c>
      <c r="AK8" s="12" t="n"/>
      <c r="AL8" s="15" t="n"/>
      <c r="AM8" s="15">
        <f>AJ8-AL8</f>
        <v/>
      </c>
      <c r="AN8" s="12" t="n"/>
      <c r="AO8" s="15" t="n"/>
      <c r="AP8" s="15">
        <f>AM8-AO8</f>
        <v/>
      </c>
      <c r="AQ8" s="12" t="n"/>
      <c r="AR8" s="15" t="n"/>
      <c r="AS8" s="15">
        <f>AP8-AR8</f>
        <v/>
      </c>
      <c r="AT8" s="12" t="n"/>
      <c r="AU8" s="15" t="n"/>
      <c r="AV8" s="15">
        <f>AS8-AU8</f>
        <v/>
      </c>
      <c r="AW8" s="12" t="n"/>
      <c r="AX8" s="15" t="n"/>
      <c r="AY8" s="15">
        <f>AV8-AX8</f>
        <v/>
      </c>
      <c r="AZ8" s="12" t="n"/>
      <c r="BA8" s="15" t="n"/>
      <c r="BB8" s="15">
        <f>AY8-BA8</f>
        <v/>
      </c>
      <c r="BC8" s="12" t="n"/>
      <c r="BD8" s="15" t="n"/>
      <c r="BE8" s="15">
        <f>BB8-BD8</f>
        <v/>
      </c>
      <c r="BF8" s="12" t="n"/>
      <c r="BG8" s="15" t="n"/>
      <c r="BH8" s="15">
        <f>BE8-BG8</f>
        <v/>
      </c>
      <c r="BI8" s="12" t="n"/>
      <c r="BJ8" s="15" t="n"/>
      <c r="BK8" s="15">
        <f>BH8-BJ8</f>
        <v/>
      </c>
      <c r="BL8" s="12" t="n"/>
      <c r="BM8" s="15" t="n"/>
      <c r="BN8" s="15">
        <f>BK8-BM8</f>
        <v/>
      </c>
      <c r="BO8" s="12" t="n"/>
      <c r="BP8" s="16">
        <f>H8+K8+N8+Q8+T8+W8+Z8+AC8+AF8+AI8+AL8+AO8+AR8+AU8+AX8+BA8+BD8+BG8+BJ8+BM8</f>
        <v/>
      </c>
      <c r="BQ8" s="16">
        <f>G8-BP8</f>
        <v/>
      </c>
    </row>
    <row r="9">
      <c r="A9" s="1" t="n"/>
      <c r="B9" s="13" t="inlineStr">
        <is>
          <t>HU-01</t>
        </is>
      </c>
      <c r="C9" s="13" t="inlineStr">
        <is>
          <t>Como un Bombero Encargado de Flota, necesito registrar una mantención del vehículo, con la finalidad de llevar un historial de las mantenciones de cada carro.</t>
        </is>
      </c>
      <c r="D9" s="13" t="inlineStr">
        <is>
          <t>T4 Crear formulario de mantención</t>
        </is>
      </c>
      <c r="E9" s="14" t="inlineStr">
        <is>
          <t>Equipo Scrum</t>
        </is>
      </c>
      <c r="F9" s="13" t="inlineStr">
        <is>
          <t>Hecho</t>
        </is>
      </c>
      <c r="G9" s="13" t="n">
        <v>3</v>
      </c>
      <c r="H9" s="15" t="n"/>
      <c r="I9" s="15">
        <f>G9-H9</f>
        <v/>
      </c>
      <c r="J9" s="12" t="n"/>
      <c r="K9" s="15" t="n"/>
      <c r="L9" s="15">
        <f>I9-K9</f>
        <v/>
      </c>
      <c r="M9" s="12" t="n"/>
      <c r="N9" s="15" t="n"/>
      <c r="O9" s="15">
        <f>L9-N9</f>
        <v/>
      </c>
      <c r="P9" s="12" t="n"/>
      <c r="Q9" s="15" t="n">
        <v>1</v>
      </c>
      <c r="R9" s="15">
        <f>O9-Q9</f>
        <v/>
      </c>
      <c r="S9" s="12" t="n"/>
      <c r="T9" s="15" t="n">
        <v>2</v>
      </c>
      <c r="U9" s="15">
        <f>R9-T9</f>
        <v/>
      </c>
      <c r="V9" s="12" t="n"/>
      <c r="W9" s="15" t="n"/>
      <c r="X9" s="15">
        <f>U9-W9</f>
        <v/>
      </c>
      <c r="Y9" s="12" t="n"/>
      <c r="Z9" s="15" t="n"/>
      <c r="AA9" s="15">
        <f>X9-Z9</f>
        <v/>
      </c>
      <c r="AB9" s="12" t="n"/>
      <c r="AC9" s="15" t="n"/>
      <c r="AD9" s="15">
        <f>AA9-AC9</f>
        <v/>
      </c>
      <c r="AE9" s="12" t="n"/>
      <c r="AF9" s="15" t="n"/>
      <c r="AG9" s="15">
        <f>AD9-AF9</f>
        <v/>
      </c>
      <c r="AH9" s="12" t="n"/>
      <c r="AI9" s="15" t="n"/>
      <c r="AJ9" s="15">
        <f>AG9-AI9</f>
        <v/>
      </c>
      <c r="AK9" s="12" t="n"/>
      <c r="AL9" s="15" t="n"/>
      <c r="AM9" s="15">
        <f>AJ9-AL9</f>
        <v/>
      </c>
      <c r="AN9" s="12" t="n"/>
      <c r="AO9" s="15" t="n"/>
      <c r="AP9" s="15">
        <f>AM9-AO9</f>
        <v/>
      </c>
      <c r="AQ9" s="12" t="n"/>
      <c r="AR9" s="15" t="n"/>
      <c r="AS9" s="15">
        <f>AP9-AR9</f>
        <v/>
      </c>
      <c r="AT9" s="12" t="n"/>
      <c r="AU9" s="15" t="n"/>
      <c r="AV9" s="15">
        <f>AS9-AU9</f>
        <v/>
      </c>
      <c r="AW9" s="12" t="n"/>
      <c r="AX9" s="15" t="n"/>
      <c r="AY9" s="15">
        <f>AV9-AX9</f>
        <v/>
      </c>
      <c r="AZ9" s="12" t="n"/>
      <c r="BA9" s="15" t="n"/>
      <c r="BB9" s="15">
        <f>AY9-BA9</f>
        <v/>
      </c>
      <c r="BC9" s="12" t="n"/>
      <c r="BD9" s="15" t="n"/>
      <c r="BE9" s="15">
        <f>BB9-BD9</f>
        <v/>
      </c>
      <c r="BF9" s="12" t="n"/>
      <c r="BG9" s="15" t="n"/>
      <c r="BH9" s="15">
        <f>BE9-BG9</f>
        <v/>
      </c>
      <c r="BI9" s="12" t="n"/>
      <c r="BJ9" s="15" t="n"/>
      <c r="BK9" s="15">
        <f>BH9-BJ9</f>
        <v/>
      </c>
      <c r="BL9" s="12" t="n"/>
      <c r="BM9" s="15" t="n"/>
      <c r="BN9" s="15">
        <f>BK9-BM9</f>
        <v/>
      </c>
      <c r="BO9" s="12" t="n"/>
      <c r="BP9" s="16">
        <f>H9+K9+N9+Q9+T9+W9+Z9+AC9+AF9+AI9+AL9+AO9+AR9+AU9+AX9+BA9+BD9+BG9+BJ9+BM9</f>
        <v/>
      </c>
      <c r="BQ9" s="16">
        <f>G9-BP9</f>
        <v/>
      </c>
    </row>
    <row r="10">
      <c r="A10" s="1" t="n"/>
      <c r="B10" s="13" t="inlineStr">
        <is>
          <t>HU-03</t>
        </is>
      </c>
      <c r="C10" s="13" t="inlineStr">
        <is>
          <t>Como un Bombero Encargado de Flota, necesito añadir un nuevo vehículo al sistema, con la finalidad de registrar mantenciones a los vehículos nuevos del cuartel.</t>
        </is>
      </c>
      <c r="D10" s="13" t="inlineStr">
        <is>
          <t>T5 Crear interfaz/formulario "Añadir vehículo"</t>
        </is>
      </c>
      <c r="E10" s="14" t="inlineStr">
        <is>
          <t>Equipo Scrum</t>
        </is>
      </c>
      <c r="F10" s="13" t="inlineStr">
        <is>
          <t>Hecho</t>
        </is>
      </c>
      <c r="G10" s="13" t="n">
        <v>1</v>
      </c>
      <c r="H10" s="15" t="n"/>
      <c r="I10" s="15">
        <f>G10-H10</f>
        <v/>
      </c>
      <c r="J10" s="12" t="n"/>
      <c r="K10" s="15" t="n"/>
      <c r="L10" s="15">
        <f>I10-K10</f>
        <v/>
      </c>
      <c r="M10" s="12" t="n"/>
      <c r="N10" s="15" t="n"/>
      <c r="O10" s="15">
        <f>L10-N10</f>
        <v/>
      </c>
      <c r="P10" s="12" t="n"/>
      <c r="Q10" s="15" t="n"/>
      <c r="R10" s="15">
        <f>O10-Q10</f>
        <v/>
      </c>
      <c r="S10" s="12" t="n"/>
      <c r="T10" s="15" t="n">
        <v>1</v>
      </c>
      <c r="U10" s="15">
        <f>R10-T10</f>
        <v/>
      </c>
      <c r="V10" s="12" t="n"/>
      <c r="W10" s="15" t="n"/>
      <c r="X10" s="15">
        <f>U10-W10</f>
        <v/>
      </c>
      <c r="Y10" s="12" t="n"/>
      <c r="Z10" s="15" t="n"/>
      <c r="AA10" s="15">
        <f>X10-Z10</f>
        <v/>
      </c>
      <c r="AB10" s="12" t="n"/>
      <c r="AC10" s="15" t="n"/>
      <c r="AD10" s="15">
        <f>AA10-AC10</f>
        <v/>
      </c>
      <c r="AE10" s="12" t="n"/>
      <c r="AF10" s="15" t="n"/>
      <c r="AG10" s="15">
        <f>AD10-AF10</f>
        <v/>
      </c>
      <c r="AH10" s="12" t="n"/>
      <c r="AI10" s="15" t="n"/>
      <c r="AJ10" s="15">
        <f>AG10-AI10</f>
        <v/>
      </c>
      <c r="AK10" s="12" t="n"/>
      <c r="AL10" s="15" t="n"/>
      <c r="AM10" s="15">
        <f>AJ10-AL10</f>
        <v/>
      </c>
      <c r="AN10" s="12" t="n"/>
      <c r="AO10" s="15" t="n"/>
      <c r="AP10" s="15">
        <f>AM10-AO10</f>
        <v/>
      </c>
      <c r="AQ10" s="12" t="n"/>
      <c r="AR10" s="15" t="n"/>
      <c r="AS10" s="15">
        <f>AP10-AR10</f>
        <v/>
      </c>
      <c r="AT10" s="12" t="n"/>
      <c r="AU10" s="15" t="n"/>
      <c r="AV10" s="15">
        <f>AS10-AU10</f>
        <v/>
      </c>
      <c r="AW10" s="12" t="n"/>
      <c r="AX10" s="15" t="n"/>
      <c r="AY10" s="15">
        <f>AV10-AX10</f>
        <v/>
      </c>
      <c r="AZ10" s="12" t="n"/>
      <c r="BA10" s="15" t="n"/>
      <c r="BB10" s="15">
        <f>AY10-BA10</f>
        <v/>
      </c>
      <c r="BC10" s="12" t="n"/>
      <c r="BD10" s="15" t="n"/>
      <c r="BE10" s="15">
        <f>BB10-BD10</f>
        <v/>
      </c>
      <c r="BF10" s="12" t="n"/>
      <c r="BG10" s="15" t="n"/>
      <c r="BH10" s="15">
        <f>BE10-BG10</f>
        <v/>
      </c>
      <c r="BI10" s="12" t="n"/>
      <c r="BJ10" s="15" t="n"/>
      <c r="BK10" s="15">
        <f>BH10-BJ10</f>
        <v/>
      </c>
      <c r="BL10" s="12" t="n"/>
      <c r="BM10" s="15" t="n"/>
      <c r="BN10" s="15">
        <f>BK10-BM10</f>
        <v/>
      </c>
      <c r="BO10" s="12" t="n"/>
      <c r="BP10" s="16">
        <f>H10+K10+N10+Q10+T10+W10+Z10+AC10+AF10+AI10+AL10+AO10+AR10+AU10+AX10+BA10+BD10+BG10+BJ10+BM10</f>
        <v/>
      </c>
      <c r="BQ10" s="16">
        <f>G10-BP10</f>
        <v/>
      </c>
    </row>
    <row r="11">
      <c r="A11" s="1" t="n"/>
      <c r="B11" s="13" t="inlineStr">
        <is>
          <t>HU-03</t>
        </is>
      </c>
      <c r="C11" s="13" t="inlineStr">
        <is>
          <t>Como un Bombero Encargado de Flota, necesito añadir un nuevo vehículo al sistema, con la finalidad de registrar mantenciones a los vehículos nuevos del cuartel.</t>
        </is>
      </c>
      <c r="D11" s="13" t="inlineStr">
        <is>
          <t>T6 Crear modelo BD Vehículo</t>
        </is>
      </c>
      <c r="E11" s="14" t="inlineStr">
        <is>
          <t>Equipo Scrum</t>
        </is>
      </c>
      <c r="F11" s="13" t="inlineStr">
        <is>
          <t>Hecho</t>
        </is>
      </c>
      <c r="G11" s="13" t="n">
        <v>0.5</v>
      </c>
      <c r="H11" s="15" t="n"/>
      <c r="I11" s="15">
        <f>G11-H11</f>
        <v/>
      </c>
      <c r="J11" s="12" t="n"/>
      <c r="K11" s="15" t="n"/>
      <c r="L11" s="15">
        <f>I11-K11</f>
        <v/>
      </c>
      <c r="M11" s="12" t="n"/>
      <c r="N11" s="15" t="n"/>
      <c r="O11" s="15">
        <f>L11-N11</f>
        <v/>
      </c>
      <c r="P11" s="12" t="n"/>
      <c r="Q11" s="15" t="n"/>
      <c r="R11" s="15">
        <f>O11-Q11</f>
        <v/>
      </c>
      <c r="S11" s="12" t="n"/>
      <c r="T11" s="15" t="n">
        <v>0.5</v>
      </c>
      <c r="U11" s="15">
        <f>R11-T11</f>
        <v/>
      </c>
      <c r="V11" s="12" t="n"/>
      <c r="W11" s="15" t="n"/>
      <c r="X11" s="15">
        <f>U11-W11</f>
        <v/>
      </c>
      <c r="Y11" s="12" t="n"/>
      <c r="Z11" s="15" t="n"/>
      <c r="AA11" s="15">
        <f>X11-Z11</f>
        <v/>
      </c>
      <c r="AB11" s="12" t="n"/>
      <c r="AC11" s="15" t="n"/>
      <c r="AD11" s="15">
        <f>AA11-AC11</f>
        <v/>
      </c>
      <c r="AE11" s="12" t="n"/>
      <c r="AF11" s="15" t="n"/>
      <c r="AG11" s="15">
        <f>AD11-AF11</f>
        <v/>
      </c>
      <c r="AH11" s="12" t="n"/>
      <c r="AI11" s="15" t="n"/>
      <c r="AJ11" s="15">
        <f>AG11-AI11</f>
        <v/>
      </c>
      <c r="AK11" s="12" t="n"/>
      <c r="AL11" s="15" t="n"/>
      <c r="AM11" s="15">
        <f>AJ11-AL11</f>
        <v/>
      </c>
      <c r="AN11" s="12" t="n"/>
      <c r="AO11" s="15" t="n"/>
      <c r="AP11" s="15">
        <f>AM11-AO11</f>
        <v/>
      </c>
      <c r="AQ11" s="12" t="n"/>
      <c r="AR11" s="15" t="n"/>
      <c r="AS11" s="15">
        <f>AP11-AR11</f>
        <v/>
      </c>
      <c r="AT11" s="12" t="n"/>
      <c r="AU11" s="15" t="n"/>
      <c r="AV11" s="15">
        <f>AS11-AU11</f>
        <v/>
      </c>
      <c r="AW11" s="12" t="n"/>
      <c r="AX11" s="15" t="n"/>
      <c r="AY11" s="15">
        <f>AV11-AX11</f>
        <v/>
      </c>
      <c r="AZ11" s="12" t="n"/>
      <c r="BA11" s="15" t="n"/>
      <c r="BB11" s="15">
        <f>AY11-BA11</f>
        <v/>
      </c>
      <c r="BC11" s="12" t="n"/>
      <c r="BD11" s="15" t="n"/>
      <c r="BE11" s="15">
        <f>BB11-BD11</f>
        <v/>
      </c>
      <c r="BF11" s="12" t="n"/>
      <c r="BG11" s="15" t="n"/>
      <c r="BH11" s="15">
        <f>BE11-BG11</f>
        <v/>
      </c>
      <c r="BI11" s="12" t="n"/>
      <c r="BJ11" s="15" t="n"/>
      <c r="BK11" s="15">
        <f>BH11-BJ11</f>
        <v/>
      </c>
      <c r="BL11" s="12" t="n"/>
      <c r="BM11" s="15" t="n"/>
      <c r="BN11" s="15">
        <f>BK11-BM11</f>
        <v/>
      </c>
      <c r="BO11" s="12" t="n"/>
      <c r="BP11" s="16">
        <f>H11+K11+N11+Q11+T11+W11+Z11+AC11+AF11+AI11+AL11+AO11+AR11+AU11+AX11+BA11+BD11+BG11+BJ11+BM11</f>
        <v/>
      </c>
      <c r="BQ11" s="16">
        <f>G11-BP11</f>
        <v/>
      </c>
    </row>
    <row r="12">
      <c r="A12" s="1" t="n"/>
      <c r="B12" s="13" t="inlineStr">
        <is>
          <t>HU-03</t>
        </is>
      </c>
      <c r="C12" s="13" t="inlineStr">
        <is>
          <t>Como un Bombero Encargado de Flota, necesito añadir un nuevo vehículo al sistema, con la finalidad de registrar mantenciones a los vehículos nuevos del cuartel.</t>
        </is>
      </c>
      <c r="D12" s="13" t="inlineStr">
        <is>
          <t>T7 Implementar validaciones de campos requeridos</t>
        </is>
      </c>
      <c r="E12" s="14" t="inlineStr">
        <is>
          <t>Equipo Scrum</t>
        </is>
      </c>
      <c r="F12" s="13" t="inlineStr">
        <is>
          <t>Hecho</t>
        </is>
      </c>
      <c r="G12" s="13" t="n">
        <v>3</v>
      </c>
      <c r="H12" s="15" t="n"/>
      <c r="I12" s="15">
        <f>G12-H12</f>
        <v/>
      </c>
      <c r="J12" s="12" t="n"/>
      <c r="K12" s="15" t="n"/>
      <c r="L12" s="15">
        <f>I12-K12</f>
        <v/>
      </c>
      <c r="M12" s="12" t="n"/>
      <c r="N12" s="15" t="n"/>
      <c r="O12" s="15">
        <f>L12-N12</f>
        <v/>
      </c>
      <c r="P12" s="12" t="n"/>
      <c r="Q12" s="15" t="n"/>
      <c r="R12" s="15">
        <f>O12-Q12</f>
        <v/>
      </c>
      <c r="S12" s="12" t="n"/>
      <c r="T12" s="15" t="n">
        <v>0.5</v>
      </c>
      <c r="U12" s="15">
        <f>R12-T12</f>
        <v/>
      </c>
      <c r="V12" s="12" t="n"/>
      <c r="W12" s="15" t="n"/>
      <c r="X12" s="15">
        <f>U12-W12</f>
        <v/>
      </c>
      <c r="Y12" s="12" t="n"/>
      <c r="Z12" s="15" t="n">
        <v>2.5</v>
      </c>
      <c r="AA12" s="15">
        <f>X12-Z12</f>
        <v/>
      </c>
      <c r="AB12" s="12" t="n"/>
      <c r="AC12" s="15" t="n"/>
      <c r="AD12" s="15">
        <f>AA12-AC12</f>
        <v/>
      </c>
      <c r="AE12" s="12" t="n"/>
      <c r="AF12" s="15" t="n"/>
      <c r="AG12" s="15">
        <f>AD12-AF12</f>
        <v/>
      </c>
      <c r="AH12" s="12" t="n"/>
      <c r="AI12" s="15" t="n"/>
      <c r="AJ12" s="15">
        <f>AG12-AI12</f>
        <v/>
      </c>
      <c r="AK12" s="12" t="n"/>
      <c r="AL12" s="15" t="n"/>
      <c r="AM12" s="15">
        <f>AJ12-AL12</f>
        <v/>
      </c>
      <c r="AN12" s="12" t="n"/>
      <c r="AO12" s="15" t="n"/>
      <c r="AP12" s="15">
        <f>AM12-AO12</f>
        <v/>
      </c>
      <c r="AQ12" s="12" t="n"/>
      <c r="AR12" s="15" t="n"/>
      <c r="AS12" s="15">
        <f>AP12-AR12</f>
        <v/>
      </c>
      <c r="AT12" s="12" t="n"/>
      <c r="AU12" s="15" t="n"/>
      <c r="AV12" s="15">
        <f>AS12-AU12</f>
        <v/>
      </c>
      <c r="AW12" s="12" t="n"/>
      <c r="AX12" s="15" t="n"/>
      <c r="AY12" s="15">
        <f>AV12-AX12</f>
        <v/>
      </c>
      <c r="AZ12" s="12" t="n"/>
      <c r="BA12" s="15" t="n"/>
      <c r="BB12" s="15">
        <f>AY12-BA12</f>
        <v/>
      </c>
      <c r="BC12" s="12" t="n"/>
      <c r="BD12" s="15" t="n"/>
      <c r="BE12" s="15">
        <f>BB12-BD12</f>
        <v/>
      </c>
      <c r="BF12" s="12" t="n"/>
      <c r="BG12" s="15" t="n"/>
      <c r="BH12" s="15">
        <f>BE12-BG12</f>
        <v/>
      </c>
      <c r="BI12" s="12" t="n"/>
      <c r="BJ12" s="15" t="n"/>
      <c r="BK12" s="15">
        <f>BH12-BJ12</f>
        <v/>
      </c>
      <c r="BL12" s="12" t="n"/>
      <c r="BM12" s="15" t="n"/>
      <c r="BN12" s="15">
        <f>BK12-BM12</f>
        <v/>
      </c>
      <c r="BO12" s="12" t="n"/>
      <c r="BP12" s="16">
        <f>H12+K12+N12+Q12+T12+W12+Z12+AC12+AF12+AI12+AL12+AO12+AR12+AU12+AX12+BA12+BD12+BG12+BJ12+BM12</f>
        <v/>
      </c>
      <c r="BQ12" s="16">
        <f>G12-BP12</f>
        <v/>
      </c>
    </row>
    <row r="13">
      <c r="A13" s="1" t="n"/>
      <c r="B13" s="13" t="inlineStr">
        <is>
          <t>HU-04</t>
        </is>
      </c>
      <c r="C13" s="13" t="inlineStr">
        <is>
          <t>Como un Bombero Encargado de Flota, necesito editar la disponibilidad de cada carro, con la finalidad de saber rápidamente qué carros están aptos para salir a terreno.</t>
        </is>
      </c>
      <c r="D13" s="13" t="inlineStr">
        <is>
          <t>T8 Crear botón de cambio de disponibilidad</t>
        </is>
      </c>
      <c r="E13" s="14" t="inlineStr">
        <is>
          <t>Equipo Scrum</t>
        </is>
      </c>
      <c r="F13" s="13" t="inlineStr">
        <is>
          <t>No terminada</t>
        </is>
      </c>
      <c r="G13" s="13" t="n">
        <v>1</v>
      </c>
      <c r="H13" s="15" t="n"/>
      <c r="I13" s="15">
        <f>G13-H13</f>
        <v/>
      </c>
      <c r="J13" s="12" t="n"/>
      <c r="K13" s="15" t="n"/>
      <c r="L13" s="15">
        <f>I13-K13</f>
        <v/>
      </c>
      <c r="M13" s="12" t="n"/>
      <c r="N13" s="15" t="n"/>
      <c r="O13" s="15">
        <f>L13-N13</f>
        <v/>
      </c>
      <c r="P13" s="12" t="n"/>
      <c r="Q13" s="15" t="n"/>
      <c r="R13" s="15">
        <f>O13-Q13</f>
        <v/>
      </c>
      <c r="S13" s="12" t="n"/>
      <c r="T13" s="15" t="n"/>
      <c r="U13" s="15">
        <f>R13-T13</f>
        <v/>
      </c>
      <c r="V13" s="12" t="n"/>
      <c r="W13" s="15" t="n"/>
      <c r="X13" s="15">
        <f>U13-W13</f>
        <v/>
      </c>
      <c r="Y13" s="12" t="n"/>
      <c r="Z13" s="15" t="n"/>
      <c r="AA13" s="15">
        <f>X13-Z13</f>
        <v/>
      </c>
      <c r="AB13" s="12" t="n"/>
      <c r="AC13" s="15" t="n"/>
      <c r="AD13" s="15">
        <f>AA13-AC13</f>
        <v/>
      </c>
      <c r="AE13" s="12" t="n"/>
      <c r="AF13" s="15" t="n"/>
      <c r="AG13" s="15">
        <f>AD13-AF13</f>
        <v/>
      </c>
      <c r="AH13" s="12" t="n"/>
      <c r="AI13" s="15" t="n"/>
      <c r="AJ13" s="15">
        <f>AG13-AI13</f>
        <v/>
      </c>
      <c r="AK13" s="12" t="n"/>
      <c r="AL13" s="15" t="n"/>
      <c r="AM13" s="15">
        <f>AJ13-AL13</f>
        <v/>
      </c>
      <c r="AN13" s="12" t="n"/>
      <c r="AO13" s="15" t="n"/>
      <c r="AP13" s="15">
        <f>AM13-AO13</f>
        <v/>
      </c>
      <c r="AQ13" s="12" t="n"/>
      <c r="AR13" s="15" t="n"/>
      <c r="AS13" s="15">
        <f>AP13-AR13</f>
        <v/>
      </c>
      <c r="AT13" s="12" t="n"/>
      <c r="AU13" s="15" t="n"/>
      <c r="AV13" s="15">
        <f>AS13-AU13</f>
        <v/>
      </c>
      <c r="AW13" s="12" t="n"/>
      <c r="AX13" s="15" t="n"/>
      <c r="AY13" s="15">
        <f>AV13-AX13</f>
        <v/>
      </c>
      <c r="AZ13" s="12" t="n"/>
      <c r="BA13" s="15" t="n"/>
      <c r="BB13" s="15">
        <f>AY13-BA13</f>
        <v/>
      </c>
      <c r="BC13" s="12" t="n"/>
      <c r="BD13" s="15" t="n"/>
      <c r="BE13" s="15">
        <f>BB13-BD13</f>
        <v/>
      </c>
      <c r="BF13" s="12" t="n"/>
      <c r="BG13" s="15" t="n"/>
      <c r="BH13" s="15">
        <f>BE13-BG13</f>
        <v/>
      </c>
      <c r="BI13" s="12" t="n"/>
      <c r="BJ13" s="15" t="n"/>
      <c r="BK13" s="15">
        <f>BH13-BJ13</f>
        <v/>
      </c>
      <c r="BL13" s="12" t="n"/>
      <c r="BM13" s="15" t="n"/>
      <c r="BN13" s="15">
        <f>BK13-BM13</f>
        <v/>
      </c>
      <c r="BO13" s="12" t="n"/>
      <c r="BP13" s="16">
        <f>H13+K13+N13+Q13+T13+W13+Z13+AC13+AF13+AI13+AL13+AO13+AR13+AU13+AX13+BA13+BD13+BG13+BJ13+BM13</f>
        <v/>
      </c>
      <c r="BQ13" s="16">
        <f>G13-BP13</f>
        <v/>
      </c>
    </row>
    <row r="14">
      <c r="A14" s="1" t="n"/>
      <c r="B14" s="13" t="inlineStr">
        <is>
          <t>HU-01</t>
        </is>
      </c>
      <c r="C14" s="13" t="inlineStr">
        <is>
          <t>Como un Bombero Encargado de Flota, necesito registrar una mantención del vehículo, con la finalidad de llevar un historial de las mantenciones de cada carro.</t>
        </is>
      </c>
      <c r="D14" s="13" t="inlineStr">
        <is>
          <t>T9 Diseñar interfaz para asociar repuestos a una mantención</t>
        </is>
      </c>
      <c r="E14" s="14" t="inlineStr">
        <is>
          <t>Equipo Scrum</t>
        </is>
      </c>
      <c r="F14" s="13" t="inlineStr">
        <is>
          <t>Hecho</t>
        </is>
      </c>
      <c r="G14" s="13" t="n">
        <v>1.5</v>
      </c>
      <c r="H14" s="15" t="n"/>
      <c r="I14" s="15">
        <f>G14-H14</f>
        <v/>
      </c>
      <c r="J14" s="12" t="n"/>
      <c r="K14" s="15" t="n"/>
      <c r="L14" s="15">
        <f>I14-K14</f>
        <v/>
      </c>
      <c r="M14" s="12" t="n"/>
      <c r="N14" s="15" t="n"/>
      <c r="O14" s="15">
        <f>L14-N14</f>
        <v/>
      </c>
      <c r="P14" s="12" t="n"/>
      <c r="Q14" s="15" t="n"/>
      <c r="R14" s="15">
        <f>O14-Q14</f>
        <v/>
      </c>
      <c r="S14" s="12" t="n"/>
      <c r="T14" s="15" t="n">
        <v>1</v>
      </c>
      <c r="U14" s="15">
        <f>R14-T14</f>
        <v/>
      </c>
      <c r="V14" s="12" t="n"/>
      <c r="W14" s="15" t="n">
        <v>0.5</v>
      </c>
      <c r="X14" s="15">
        <f>U14-W14</f>
        <v/>
      </c>
      <c r="Y14" s="12" t="n"/>
      <c r="Z14" s="15" t="n"/>
      <c r="AA14" s="15">
        <f>X14-Z14</f>
        <v/>
      </c>
      <c r="AB14" s="12" t="n"/>
      <c r="AC14" s="15" t="n"/>
      <c r="AD14" s="15">
        <f>AA14-AC14</f>
        <v/>
      </c>
      <c r="AE14" s="12" t="n"/>
      <c r="AF14" s="15" t="n"/>
      <c r="AG14" s="15">
        <f>AD14-AF14</f>
        <v/>
      </c>
      <c r="AH14" s="12" t="n"/>
      <c r="AI14" s="15" t="n"/>
      <c r="AJ14" s="15">
        <f>AG14-AI14</f>
        <v/>
      </c>
      <c r="AK14" s="12" t="n"/>
      <c r="AL14" s="15" t="n"/>
      <c r="AM14" s="15">
        <f>AJ14-AL14</f>
        <v/>
      </c>
      <c r="AN14" s="12" t="n"/>
      <c r="AO14" s="15" t="n"/>
      <c r="AP14" s="15">
        <f>AM14-AO14</f>
        <v/>
      </c>
      <c r="AQ14" s="12" t="n"/>
      <c r="AR14" s="15" t="n"/>
      <c r="AS14" s="15">
        <f>AP14-AR14</f>
        <v/>
      </c>
      <c r="AT14" s="12" t="n"/>
      <c r="AU14" s="15" t="n"/>
      <c r="AV14" s="15">
        <f>AS14-AU14</f>
        <v/>
      </c>
      <c r="AW14" s="12" t="n"/>
      <c r="AX14" s="15" t="n"/>
      <c r="AY14" s="15">
        <f>AV14-AX14</f>
        <v/>
      </c>
      <c r="AZ14" s="12" t="n"/>
      <c r="BA14" s="15" t="n"/>
      <c r="BB14" s="15">
        <f>AY14-BA14</f>
        <v/>
      </c>
      <c r="BC14" s="12" t="n"/>
      <c r="BD14" s="15" t="n"/>
      <c r="BE14" s="15">
        <f>BB14-BD14</f>
        <v/>
      </c>
      <c r="BF14" s="12" t="n"/>
      <c r="BG14" s="15" t="n"/>
      <c r="BH14" s="15">
        <f>BE14-BG14</f>
        <v/>
      </c>
      <c r="BI14" s="12" t="n"/>
      <c r="BJ14" s="15" t="n"/>
      <c r="BK14" s="15">
        <f>BH14-BJ14</f>
        <v/>
      </c>
      <c r="BL14" s="12" t="n"/>
      <c r="BM14" s="15" t="n"/>
      <c r="BN14" s="15">
        <f>BK14-BM14</f>
        <v/>
      </c>
      <c r="BO14" s="12" t="n"/>
      <c r="BP14" s="16">
        <f>H14+K14+N14+Q14+T14+W14+Z14+AC14+AF14+AI14+AL14+AO14+AR14+AU14+AX14+BA14+BD14+BG14+BJ14+BM14</f>
        <v/>
      </c>
      <c r="BQ14" s="16">
        <f>G14-BP14</f>
        <v/>
      </c>
    </row>
    <row r="15">
      <c r="A15" s="1" t="n"/>
      <c r="B15" s="13" t="inlineStr">
        <is>
          <t>HU-01</t>
        </is>
      </c>
      <c r="C15" s="13" t="inlineStr">
        <is>
          <t>Como un Bombero Encargado de Flota, necesito registrar una mantención del vehículo, con la finalidad de llevar un historial de las mantenciones de cada carro.</t>
        </is>
      </c>
      <c r="D15" s="13" t="inlineStr">
        <is>
          <t>T10 Crear interfaz de historial de mantenciones</t>
        </is>
      </c>
      <c r="E15" s="14" t="inlineStr">
        <is>
          <t>Equipo Scrum</t>
        </is>
      </c>
      <c r="F15" s="13" t="inlineStr">
        <is>
          <t>Hecho</t>
        </is>
      </c>
      <c r="G15" s="13" t="n">
        <v>2</v>
      </c>
      <c r="H15" s="15" t="n"/>
      <c r="I15" s="15">
        <f>G15-H15</f>
        <v/>
      </c>
      <c r="J15" s="12" t="n"/>
      <c r="K15" s="15" t="n"/>
      <c r="L15" s="15">
        <f>I15-K15</f>
        <v/>
      </c>
      <c r="M15" s="12" t="n"/>
      <c r="N15" s="15" t="n"/>
      <c r="O15" s="15">
        <f>L15-N15</f>
        <v/>
      </c>
      <c r="P15" s="12" t="n"/>
      <c r="Q15" s="15" t="n"/>
      <c r="R15" s="15">
        <f>O15-Q15</f>
        <v/>
      </c>
      <c r="S15" s="12" t="n"/>
      <c r="T15" s="15" t="n"/>
      <c r="U15" s="15">
        <f>R15-T15</f>
        <v/>
      </c>
      <c r="V15" s="12" t="n"/>
      <c r="W15" s="15" t="n">
        <v>2</v>
      </c>
      <c r="X15" s="15">
        <f>U15-W15</f>
        <v/>
      </c>
      <c r="Y15" s="12" t="n"/>
      <c r="Z15" s="15" t="n"/>
      <c r="AA15" s="15">
        <f>X15-Z15</f>
        <v/>
      </c>
      <c r="AB15" s="12" t="n"/>
      <c r="AC15" s="15" t="n"/>
      <c r="AD15" s="15">
        <f>AA15-AC15</f>
        <v/>
      </c>
      <c r="AE15" s="12" t="n"/>
      <c r="AF15" s="15" t="n"/>
      <c r="AG15" s="15">
        <f>AD15-AF15</f>
        <v/>
      </c>
      <c r="AH15" s="12" t="n"/>
      <c r="AI15" s="15" t="n"/>
      <c r="AJ15" s="15">
        <f>AG15-AI15</f>
        <v/>
      </c>
      <c r="AK15" s="12" t="n"/>
      <c r="AL15" s="15" t="n"/>
      <c r="AM15" s="15">
        <f>AJ15-AL15</f>
        <v/>
      </c>
      <c r="AN15" s="12" t="n"/>
      <c r="AO15" s="15" t="n"/>
      <c r="AP15" s="15">
        <f>AM15-AO15</f>
        <v/>
      </c>
      <c r="AQ15" s="12" t="n"/>
      <c r="AR15" s="15" t="n"/>
      <c r="AS15" s="15">
        <f>AP15-AR15</f>
        <v/>
      </c>
      <c r="AT15" s="12" t="n"/>
      <c r="AU15" s="15" t="n"/>
      <c r="AV15" s="15">
        <f>AS15-AU15</f>
        <v/>
      </c>
      <c r="AW15" s="12" t="n"/>
      <c r="AX15" s="15" t="n"/>
      <c r="AY15" s="15">
        <f>AV15-AX15</f>
        <v/>
      </c>
      <c r="AZ15" s="12" t="n"/>
      <c r="BA15" s="15" t="n"/>
      <c r="BB15" s="15">
        <f>AY15-BA15</f>
        <v/>
      </c>
      <c r="BC15" s="12" t="n"/>
      <c r="BD15" s="15" t="n"/>
      <c r="BE15" s="15">
        <f>BB15-BD15</f>
        <v/>
      </c>
      <c r="BF15" s="12" t="n"/>
      <c r="BG15" s="15" t="n"/>
      <c r="BH15" s="15">
        <f>BE15-BG15</f>
        <v/>
      </c>
      <c r="BI15" s="12" t="n"/>
      <c r="BJ15" s="15" t="n"/>
      <c r="BK15" s="15">
        <f>BH15-BJ15</f>
        <v/>
      </c>
      <c r="BL15" s="12" t="n"/>
      <c r="BM15" s="15" t="n"/>
      <c r="BN15" s="15">
        <f>BK15-BM15</f>
        <v/>
      </c>
      <c r="BO15" s="12" t="n"/>
      <c r="BP15" s="16">
        <f>H15+K15+N15+Q15+T15+W15+Z15+AC15+AF15+AI15+AL15+AO15+AR15+AU15+AX15+BA15+BD15+BG15+BJ15+BM15</f>
        <v/>
      </c>
      <c r="BQ15" s="16">
        <f>G15-BP15</f>
        <v/>
      </c>
    </row>
    <row r="16">
      <c r="A16" s="1" t="n"/>
      <c r="B16" s="13" t="inlineStr">
        <is>
          <t>HU-01</t>
        </is>
      </c>
      <c r="C16" s="13" t="inlineStr">
        <is>
          <t>Como un Bombero Encargado de Flota, necesito registrar una mantención del vehículo, con la finalidad de llevar un historial de las mantenciones de cada carro.</t>
        </is>
      </c>
      <c r="D16" s="13" t="inlineStr">
        <is>
          <t>T11 Programar función de cálculo de precios</t>
        </is>
      </c>
      <c r="E16" s="14" t="inlineStr">
        <is>
          <t>Equipo Scrum</t>
        </is>
      </c>
      <c r="F16" s="13" t="inlineStr">
        <is>
          <t>Hecho</t>
        </is>
      </c>
      <c r="G16" s="13" t="n">
        <v>1</v>
      </c>
      <c r="H16" s="15" t="n"/>
      <c r="I16" s="15">
        <f>G16-H16</f>
        <v/>
      </c>
      <c r="J16" s="12" t="n"/>
      <c r="K16" s="15" t="n"/>
      <c r="L16" s="15">
        <f>I16-K16</f>
        <v/>
      </c>
      <c r="M16" s="12" t="n"/>
      <c r="N16" s="15" t="n"/>
      <c r="O16" s="15">
        <f>L16-N16</f>
        <v/>
      </c>
      <c r="P16" s="12" t="n"/>
      <c r="Q16" s="15" t="n"/>
      <c r="R16" s="15">
        <f>O16-Q16</f>
        <v/>
      </c>
      <c r="S16" s="12" t="n"/>
      <c r="T16" s="15" t="n"/>
      <c r="U16" s="15">
        <f>R16-T16</f>
        <v/>
      </c>
      <c r="V16" s="12" t="n"/>
      <c r="W16" s="15" t="n">
        <v>0.5</v>
      </c>
      <c r="X16" s="15">
        <f>U16-W16</f>
        <v/>
      </c>
      <c r="Y16" s="12" t="n"/>
      <c r="Z16" s="15" t="n">
        <v>0.5</v>
      </c>
      <c r="AA16" s="15">
        <f>X16-Z16</f>
        <v/>
      </c>
      <c r="AB16" s="12" t="n"/>
      <c r="AC16" s="15" t="n"/>
      <c r="AD16" s="15">
        <f>AA16-AC16</f>
        <v/>
      </c>
      <c r="AE16" s="12" t="n"/>
      <c r="AF16" s="15" t="n"/>
      <c r="AG16" s="15">
        <f>AD16-AF16</f>
        <v/>
      </c>
      <c r="AH16" s="12" t="n"/>
      <c r="AI16" s="15" t="n"/>
      <c r="AJ16" s="15">
        <f>AG16-AI16</f>
        <v/>
      </c>
      <c r="AK16" s="12" t="n"/>
      <c r="AL16" s="15" t="n"/>
      <c r="AM16" s="15">
        <f>AJ16-AL16</f>
        <v/>
      </c>
      <c r="AN16" s="12" t="n"/>
      <c r="AO16" s="15" t="n"/>
      <c r="AP16" s="15">
        <f>AM16-AO16</f>
        <v/>
      </c>
      <c r="AQ16" s="12" t="n"/>
      <c r="AR16" s="15" t="n"/>
      <c r="AS16" s="15">
        <f>AP16-AR16</f>
        <v/>
      </c>
      <c r="AT16" s="12" t="n"/>
      <c r="AU16" s="15" t="n"/>
      <c r="AV16" s="15">
        <f>AS16-AU16</f>
        <v/>
      </c>
      <c r="AW16" s="12" t="n"/>
      <c r="AX16" s="15" t="n"/>
      <c r="AY16" s="15">
        <f>AV16-AX16</f>
        <v/>
      </c>
      <c r="AZ16" s="12" t="n"/>
      <c r="BA16" s="15" t="n"/>
      <c r="BB16" s="15">
        <f>AY16-BA16</f>
        <v/>
      </c>
      <c r="BC16" s="12" t="n"/>
      <c r="BD16" s="15" t="n"/>
      <c r="BE16" s="15">
        <f>BB16-BD16</f>
        <v/>
      </c>
      <c r="BF16" s="12" t="n"/>
      <c r="BG16" s="15" t="n"/>
      <c r="BH16" s="15">
        <f>BE16-BG16</f>
        <v/>
      </c>
      <c r="BI16" s="12" t="n"/>
      <c r="BJ16" s="15" t="n"/>
      <c r="BK16" s="15">
        <f>BH16-BJ16</f>
        <v/>
      </c>
      <c r="BL16" s="12" t="n"/>
      <c r="BM16" s="15" t="n"/>
      <c r="BN16" s="15">
        <f>BK16-BM16</f>
        <v/>
      </c>
      <c r="BO16" s="12" t="n"/>
      <c r="BP16" s="16">
        <f>H16+K16+N16+Q16+T16+W16+Z16+AC16+AF16+AI16+AL16+AO16+AR16+AU16+AX16+BA16+BD16+BG16+BJ16+BM16</f>
        <v/>
      </c>
      <c r="BQ16" s="16">
        <f>G16-BP16</f>
        <v/>
      </c>
    </row>
    <row r="17">
      <c r="A17" s="1" t="n"/>
      <c r="B17" s="20" t="inlineStr">
        <is>
          <t>Total</t>
        </is>
      </c>
      <c r="C17" s="20" t="n"/>
      <c r="D17" s="20" t="n"/>
      <c r="E17" s="21" t="n"/>
      <c r="F17" s="20" t="n"/>
      <c r="G17" s="20">
        <f>SUM(G6:G16)</f>
        <v/>
      </c>
      <c r="H17" s="22">
        <f>SUM(H6:H16)</f>
        <v/>
      </c>
      <c r="I17" s="22">
        <f>SUM(I6:I16)</f>
        <v/>
      </c>
      <c r="J17" s="23" t="n"/>
      <c r="K17" s="22">
        <f>SUM(K6:K16)</f>
        <v/>
      </c>
      <c r="L17" s="22">
        <f>SUM(L6:L16)</f>
        <v/>
      </c>
      <c r="M17" s="23" t="n"/>
      <c r="N17" s="22">
        <f>SUM(N6:N16)</f>
        <v/>
      </c>
      <c r="O17" s="22">
        <f>SUM(O6:O16)</f>
        <v/>
      </c>
      <c r="P17" s="23" t="n"/>
      <c r="Q17" s="22">
        <f>SUM(Q6:Q16)</f>
        <v/>
      </c>
      <c r="R17" s="22">
        <f>SUM(R6:R16)</f>
        <v/>
      </c>
      <c r="S17" s="23" t="n"/>
      <c r="T17" s="22">
        <f>SUM(T6:T16)</f>
        <v/>
      </c>
      <c r="U17" s="22">
        <f>SUM(U6:U16)</f>
        <v/>
      </c>
      <c r="V17" s="23" t="n"/>
      <c r="W17" s="22">
        <f>SUM(W6:W16)</f>
        <v/>
      </c>
      <c r="X17" s="22">
        <f>SUM(X6:X16)</f>
        <v/>
      </c>
      <c r="Y17" s="23" t="n"/>
      <c r="Z17" s="22">
        <f>SUM(Z6:Z16)</f>
        <v/>
      </c>
      <c r="AA17" s="22">
        <f>SUM(AA6:AA16)</f>
        <v/>
      </c>
      <c r="AB17" s="23" t="n"/>
      <c r="AC17" s="22">
        <f>SUM(AC6:AC16)</f>
        <v/>
      </c>
      <c r="AD17" s="22">
        <f>SUM(AD6:AD16)</f>
        <v/>
      </c>
      <c r="AE17" s="23" t="n"/>
      <c r="AF17" s="22">
        <f>SUM(AF6:AF16)</f>
        <v/>
      </c>
      <c r="AG17" s="22">
        <f>SUM(AG6:AG16)</f>
        <v/>
      </c>
      <c r="AH17" s="23" t="n"/>
      <c r="AI17" s="22">
        <f>SUM(AI6:AI16)</f>
        <v/>
      </c>
      <c r="AJ17" s="22">
        <f>SUM(AJ6:AJ16)</f>
        <v/>
      </c>
      <c r="AK17" s="23" t="n"/>
      <c r="AL17" s="22" t="n"/>
      <c r="AM17" s="22" t="n"/>
      <c r="AN17" s="23" t="n"/>
      <c r="AO17" s="22" t="n"/>
      <c r="AP17" s="22" t="n"/>
      <c r="AQ17" s="23" t="n"/>
      <c r="AR17" s="22" t="n"/>
      <c r="AS17" s="22" t="n"/>
      <c r="AT17" s="23" t="n"/>
      <c r="AU17" s="22" t="n"/>
      <c r="AV17" s="22" t="n"/>
      <c r="AW17" s="23" t="n"/>
      <c r="AX17" s="22" t="n"/>
      <c r="AY17" s="22" t="n"/>
      <c r="AZ17" s="23" t="n"/>
      <c r="BA17" s="22" t="n"/>
      <c r="BB17" s="22" t="n"/>
      <c r="BC17" s="23" t="n"/>
      <c r="BD17" s="22" t="n"/>
      <c r="BE17" s="22" t="n"/>
      <c r="BF17" s="23" t="n"/>
      <c r="BG17" s="22" t="n"/>
      <c r="BH17" s="22" t="n"/>
      <c r="BI17" s="23" t="n"/>
      <c r="BJ17" s="22" t="n"/>
      <c r="BK17" s="22" t="n"/>
      <c r="BL17" s="23" t="n"/>
      <c r="BM17" s="22" t="n"/>
      <c r="BN17" s="22" t="n"/>
      <c r="BO17" s="23" t="n"/>
      <c r="BP17" s="24">
        <f>SUM(BP6:BP16)</f>
        <v/>
      </c>
      <c r="BQ17" s="24">
        <f>SUM(BQ6:BQ16)</f>
        <v/>
      </c>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c r="BH18" s="1" t="n"/>
      <c r="BI18" s="1" t="n"/>
      <c r="BJ18" s="1" t="n"/>
      <c r="BK18" s="1" t="n"/>
      <c r="BL18" s="1" t="n"/>
      <c r="BM18" s="1" t="n"/>
      <c r="BN18" s="1" t="n"/>
      <c r="BO18" s="1" t="n"/>
      <c r="BP18" s="1" t="n"/>
      <c r="BQ18" s="1" t="n"/>
    </row>
    <row r="19">
      <c r="A19" s="1" t="n"/>
      <c r="B19" s="25" t="inlineStr">
        <is>
          <t>Nota: Avance diario por tarea distribuido a partir del registro por historia del equipo (plantilla_burndown.xlsx, hoja Sprint 1).</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c r="BH19" s="1" t="n"/>
      <c r="BI19" s="1" t="n"/>
      <c r="BJ19" s="1" t="n"/>
      <c r="BK19" s="1" t="n"/>
      <c r="BL19" s="1" t="n"/>
      <c r="BM19" s="1" t="n"/>
      <c r="BN19" s="1" t="n"/>
      <c r="BO19" s="1" t="n"/>
      <c r="BP19" s="1" t="n"/>
      <c r="BQ19" s="1" t="n"/>
    </row>
    <row r="20">
      <c r="A20" s="1" t="n"/>
      <c r="B20" s="25" t="inlineStr">
        <is>
          <t>Nota: T8 (HU-04) no se terminó: queda 1 h pendiente y la historia se reprograma al Sprint 3 (T22).</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c r="BH20" s="1" t="n"/>
      <c r="BI20" s="1" t="n"/>
      <c r="BJ20" s="1" t="n"/>
      <c r="BK20" s="1" t="n"/>
      <c r="BL20" s="1" t="n"/>
      <c r="BM20" s="1" t="n"/>
      <c r="BN20" s="1" t="n"/>
      <c r="BO20" s="1" t="n"/>
      <c r="BP20" s="1" t="n"/>
      <c r="BQ20" s="1" t="n"/>
    </row>
    <row r="21" ht="15.75" customHeight="1" s="1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row>
    <row r="22" ht="15.75" customHeight="1" s="1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row>
    <row r="23" ht="15.75" customHeight="1" s="1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row>
    <row r="24" ht="15.75" customHeight="1" s="1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21">
    <mergeCell ref="W4:X4"/>
    <mergeCell ref="AX4:AY4"/>
    <mergeCell ref="BJ4:BK4"/>
    <mergeCell ref="H4:I4"/>
    <mergeCell ref="AU4:AV4"/>
    <mergeCell ref="T4:U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ageMargins left="0.6299212598425197" right="0.6299212598425197" top="0.7480314960629921" bottom="0.7480314960629921" header="0" footer="0"/>
  <pageSetup orientation="landscape"/>
  <colBreaks count="4" manualBreakCount="4">
    <brk id="52" min="0" max="16383" man="1"/>
    <brk id="36" min="0" max="16383" man="1"/>
    <brk id="21" min="0" max="16383" man="1"/>
    <brk id="69" min="0" max="16383" man="1"/>
  </colBreaks>
</worksheet>
</file>

<file path=xl/worksheets/sheet2.xml><?xml version="1.0" encoding="utf-8"?>
<worksheet xmlns="http://schemas.openxmlformats.org/spreadsheetml/2006/main">
  <sheetPr>
    <outlinePr summaryBelow="0" summaryRight="0"/>
    <pageSetUpPr/>
  </sheetPr>
  <dimension ref="A1:BQ1000"/>
  <sheetViews>
    <sheetView tabSelected="0" workbookViewId="0">
      <selection activeCell="A1" sqref="A1"/>
    </sheetView>
  </sheetViews>
  <sheetFormatPr baseColWidth="8" defaultColWidth="12.63" defaultRowHeight="15" customHeight="1"/>
  <cols>
    <col width="1.25" customWidth="1" style="18" min="1" max="1"/>
    <col width="14.38" customWidth="1" style="18" min="2" max="2"/>
    <col width="29.75" customWidth="1" style="18" min="3" max="3"/>
    <col width="18.25"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 width="2.38" customWidth="1" style="18" min="25" max="25"/>
    <col width="5.13" customWidth="1" style="18" min="26" max="26"/>
    <col width="4.75" customWidth="1" style="18" min="27" max="27"/>
    <col width="2.38" customWidth="1" style="18" min="28" max="28"/>
    <col width="5.13" customWidth="1" style="18" min="29" max="29"/>
    <col width="4.75" customWidth="1" style="18" min="30" max="30"/>
    <col width="2.38" customWidth="1" style="18" min="31" max="31"/>
    <col width="5.13" customWidth="1" style="18" min="32" max="32"/>
    <col width="4.75" customWidth="1" style="18" min="33" max="33"/>
    <col width="2.38" customWidth="1" style="18" min="34" max="34"/>
    <col width="5.13" customWidth="1" style="18" min="35" max="35"/>
    <col width="4.75" customWidth="1" style="18" min="36" max="36"/>
    <col width="2.38" customWidth="1" style="18" min="37" max="37"/>
    <col width="5.13" customWidth="1" style="18" min="38" max="38"/>
    <col width="4.75" customWidth="1" style="18" min="39" max="39"/>
    <col width="2.38" customWidth="1" style="18" min="40" max="40"/>
    <col width="5.13" customWidth="1" style="18" min="41" max="41"/>
    <col width="4.75" customWidth="1" style="18" min="42" max="42"/>
    <col width="2.38" customWidth="1" style="18" min="43" max="43"/>
    <col width="5.13" customWidth="1" style="18" min="44" max="44"/>
    <col width="4.75" customWidth="1" style="18" min="45" max="45"/>
    <col width="2.38" customWidth="1" style="18" min="46" max="46"/>
    <col width="5.13" customWidth="1" style="18" min="47" max="47"/>
    <col width="4.75" customWidth="1" style="18" min="48" max="48"/>
    <col width="2.38" customWidth="1" style="18" min="49" max="49"/>
    <col width="5.13" customWidth="1" style="18" min="50" max="50"/>
    <col width="4.75" customWidth="1" style="18" min="51" max="51"/>
    <col width="2.38" customWidth="1" style="18" min="52" max="52"/>
    <col width="5.13" customWidth="1" style="18" min="53" max="53"/>
    <col width="4.75" customWidth="1" style="18" min="54" max="54"/>
    <col width="2.38" customWidth="1" style="18" min="55" max="55"/>
    <col width="5.13" customWidth="1" style="18" min="56" max="56"/>
    <col width="4.75" customWidth="1" style="18" min="57" max="57"/>
    <col width="2.38" customWidth="1" style="18" min="58" max="58"/>
    <col width="5.13" customWidth="1" style="18" min="59" max="59"/>
    <col width="4.75" customWidth="1" style="18" min="60" max="60"/>
    <col width="2.38" customWidth="1" style="18" min="61" max="61"/>
    <col width="5.13" customWidth="1" style="18" min="62" max="62"/>
    <col width="4.75" customWidth="1" style="18" min="63" max="63"/>
    <col width="2.38" customWidth="1" style="18" min="64" max="64"/>
    <col width="5.13" customWidth="1" style="18" min="65" max="65"/>
    <col width="4.75" customWidth="1" style="18" min="66" max="66"/>
    <col width="2.38" customWidth="1" style="18" min="67" max="67"/>
    <col width="5.13" customWidth="1" style="18" min="68" max="68"/>
    <col width="4.75" customWidth="1" style="18"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 – FireFleet – Sprint 2: 06/10/2026 al 19/10/2026 (12/10 feriado)</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c r="A4" s="1" t="n"/>
      <c r="B4" s="1" t="n"/>
      <c r="C4" s="1" t="n"/>
      <c r="D4" s="1" t="n"/>
      <c r="E4" s="1" t="n"/>
      <c r="F4" s="1" t="n"/>
      <c r="G4" s="1" t="n"/>
      <c r="H4" s="9" t="inlineStr">
        <is>
          <t>Día 1 (06/10)</t>
        </is>
      </c>
      <c r="I4" s="19" t="n"/>
      <c r="J4" s="8" t="n"/>
      <c r="K4" s="9" t="inlineStr">
        <is>
          <t>Día 2 (07/10)</t>
        </is>
      </c>
      <c r="L4" s="19" t="n"/>
      <c r="M4" s="8" t="n"/>
      <c r="N4" s="9" t="inlineStr">
        <is>
          <t>Día 3 (08/10)</t>
        </is>
      </c>
      <c r="O4" s="19" t="n"/>
      <c r="P4" s="8" t="n"/>
      <c r="Q4" s="9" t="inlineStr">
        <is>
          <t>Día 4 (09/10)</t>
        </is>
      </c>
      <c r="R4" s="19" t="n"/>
      <c r="S4" s="8" t="n"/>
      <c r="T4" s="9" t="inlineStr">
        <is>
          <t>Día 5 (13/10)</t>
        </is>
      </c>
      <c r="U4" s="19" t="n"/>
      <c r="V4" s="8" t="n"/>
      <c r="W4" s="9" t="inlineStr">
        <is>
          <t>Día 6 (14/10)</t>
        </is>
      </c>
      <c r="X4" s="19" t="n"/>
      <c r="Y4" s="8" t="n"/>
      <c r="Z4" s="9" t="inlineStr">
        <is>
          <t>Día 7 (15/10)</t>
        </is>
      </c>
      <c r="AA4" s="19" t="n"/>
      <c r="AB4" s="8" t="n"/>
      <c r="AC4" s="9" t="inlineStr">
        <is>
          <t>Día 8 (16/10)</t>
        </is>
      </c>
      <c r="AD4" s="19" t="n"/>
      <c r="AE4" s="8" t="n"/>
      <c r="AF4" s="9" t="inlineStr">
        <is>
          <t>Día 9 (19/10)</t>
        </is>
      </c>
      <c r="AG4" s="19" t="n"/>
      <c r="AH4" s="8" t="n"/>
      <c r="AI4" s="9" t="n"/>
      <c r="AJ4" s="19" t="n"/>
      <c r="AK4" s="8" t="n"/>
      <c r="AL4" s="9" t="n"/>
      <c r="AM4" s="19" t="n"/>
      <c r="AN4" s="8" t="n"/>
      <c r="AO4" s="9" t="n"/>
      <c r="AP4" s="19" t="n"/>
      <c r="AQ4" s="8" t="n"/>
      <c r="AR4" s="9" t="n"/>
      <c r="AS4" s="19" t="n"/>
      <c r="AT4" s="8" t="n"/>
      <c r="AU4" s="9" t="n"/>
      <c r="AV4" s="19" t="n"/>
      <c r="AW4" s="8" t="n"/>
      <c r="AX4" s="9" t="n"/>
      <c r="AY4" s="19" t="n"/>
      <c r="AZ4" s="8" t="n"/>
      <c r="BA4" s="9" t="n"/>
      <c r="BB4" s="19" t="n"/>
      <c r="BC4" s="8" t="n"/>
      <c r="BD4" s="9" t="n"/>
      <c r="BE4" s="19" t="n"/>
      <c r="BF4" s="8" t="n"/>
      <c r="BG4" s="9" t="n"/>
      <c r="BH4" s="19" t="n"/>
      <c r="BI4" s="8" t="n"/>
      <c r="BJ4" s="9" t="n"/>
      <c r="BK4" s="19" t="n"/>
      <c r="BL4" s="8" t="n"/>
      <c r="BM4" s="9" t="n"/>
      <c r="BN4" s="19" t="n"/>
      <c r="BO4" s="8" t="n"/>
      <c r="BP4" s="9" t="inlineStr">
        <is>
          <t>Total</t>
        </is>
      </c>
      <c r="BQ4" s="19" t="n"/>
    </row>
    <row r="5">
      <c r="A5" s="1" t="n"/>
      <c r="B5" s="9" t="inlineStr">
        <is>
          <t>Identificador (ID) de item de product backlog</t>
        </is>
      </c>
      <c r="C5" s="9" t="inlineStr">
        <is>
          <t>Enunciado del item de Product Backlog</t>
        </is>
      </c>
      <c r="D5" s="9" t="inlineStr">
        <is>
          <t>Tarea</t>
        </is>
      </c>
      <c r="E5" s="9" t="inlineStr">
        <is>
          <t>Dueño / Voluntario</t>
        </is>
      </c>
      <c r="F5" s="9" t="inlineStr">
        <is>
          <t>Estatus</t>
        </is>
      </c>
      <c r="G5" s="9" t="inlineStr">
        <is>
          <t>Horas estimadas totales</t>
        </is>
      </c>
      <c r="H5" s="10" t="inlineStr">
        <is>
          <t>Cons.</t>
        </is>
      </c>
      <c r="I5" s="10" t="inlineStr">
        <is>
          <t>Rest.</t>
        </is>
      </c>
      <c r="J5" s="10" t="n"/>
      <c r="K5" s="10" t="inlineStr">
        <is>
          <t>Cons.</t>
        </is>
      </c>
      <c r="L5" s="10" t="inlineStr">
        <is>
          <t>Rest.</t>
        </is>
      </c>
      <c r="M5" s="10" t="n"/>
      <c r="N5" s="10" t="inlineStr">
        <is>
          <t>Cons.</t>
        </is>
      </c>
      <c r="O5" s="10" t="inlineStr">
        <is>
          <t>Rest.</t>
        </is>
      </c>
      <c r="P5" s="10" t="n"/>
      <c r="Q5" s="10" t="inlineStr">
        <is>
          <t>Cons.</t>
        </is>
      </c>
      <c r="R5" s="10" t="inlineStr">
        <is>
          <t>Rest.</t>
        </is>
      </c>
      <c r="S5" s="10" t="n"/>
      <c r="T5" s="10" t="inlineStr">
        <is>
          <t>Cons.</t>
        </is>
      </c>
      <c r="U5" s="10" t="inlineStr">
        <is>
          <t>Rest.</t>
        </is>
      </c>
      <c r="V5" s="10" t="n"/>
      <c r="W5" s="10" t="inlineStr">
        <is>
          <t>Cons.</t>
        </is>
      </c>
      <c r="X5" s="10" t="inlineStr">
        <is>
          <t>Rest.</t>
        </is>
      </c>
      <c r="Y5" s="10" t="n"/>
      <c r="Z5" s="10" t="inlineStr">
        <is>
          <t>Cons.</t>
        </is>
      </c>
      <c r="AA5" s="10" t="inlineStr">
        <is>
          <t>Rest.</t>
        </is>
      </c>
      <c r="AB5" s="10" t="n"/>
      <c r="AC5" s="10" t="inlineStr">
        <is>
          <t>Cons.</t>
        </is>
      </c>
      <c r="AD5" s="10" t="inlineStr">
        <is>
          <t>Rest.</t>
        </is>
      </c>
      <c r="AE5" s="10" t="n"/>
      <c r="AF5" s="10" t="inlineStr">
        <is>
          <t>Cons.</t>
        </is>
      </c>
      <c r="AG5" s="10" t="inlineStr">
        <is>
          <t>Rest.</t>
        </is>
      </c>
      <c r="AH5" s="10" t="n"/>
      <c r="AI5" s="10" t="inlineStr">
        <is>
          <t>Cons.</t>
        </is>
      </c>
      <c r="AJ5" s="10" t="inlineStr">
        <is>
          <t>Rest.</t>
        </is>
      </c>
      <c r="AK5" s="10" t="n"/>
      <c r="AL5" s="10" t="inlineStr">
        <is>
          <t>Cons.</t>
        </is>
      </c>
      <c r="AM5" s="10" t="inlineStr">
        <is>
          <t>Rest.</t>
        </is>
      </c>
      <c r="AN5" s="10" t="n"/>
      <c r="AO5" s="10" t="inlineStr">
        <is>
          <t>Cons.</t>
        </is>
      </c>
      <c r="AP5" s="10" t="inlineStr">
        <is>
          <t>Rest.</t>
        </is>
      </c>
      <c r="AQ5" s="10" t="n"/>
      <c r="AR5" s="10" t="inlineStr">
        <is>
          <t>Cons.</t>
        </is>
      </c>
      <c r="AS5" s="10" t="inlineStr">
        <is>
          <t>Rest.</t>
        </is>
      </c>
      <c r="AT5" s="10" t="n"/>
      <c r="AU5" s="10" t="inlineStr">
        <is>
          <t>Cons.</t>
        </is>
      </c>
      <c r="AV5" s="10" t="inlineStr">
        <is>
          <t>Rest.</t>
        </is>
      </c>
      <c r="AW5" s="10" t="n"/>
      <c r="AX5" s="10" t="inlineStr">
        <is>
          <t>Cons.</t>
        </is>
      </c>
      <c r="AY5" s="10" t="inlineStr">
        <is>
          <t>Rest.</t>
        </is>
      </c>
      <c r="AZ5" s="10" t="n"/>
      <c r="BA5" s="10" t="inlineStr">
        <is>
          <t>Cons.</t>
        </is>
      </c>
      <c r="BB5" s="10" t="inlineStr">
        <is>
          <t>Rest.</t>
        </is>
      </c>
      <c r="BC5" s="10" t="n"/>
      <c r="BD5" s="10" t="inlineStr">
        <is>
          <t>Cons.</t>
        </is>
      </c>
      <c r="BE5" s="10" t="inlineStr">
        <is>
          <t>Rest.</t>
        </is>
      </c>
      <c r="BF5" s="10" t="n"/>
      <c r="BG5" s="10" t="inlineStr">
        <is>
          <t>Cons.</t>
        </is>
      </c>
      <c r="BH5" s="10" t="inlineStr">
        <is>
          <t>Rest.</t>
        </is>
      </c>
      <c r="BI5" s="10" t="n"/>
      <c r="BJ5" s="10" t="inlineStr">
        <is>
          <t>Cons.</t>
        </is>
      </c>
      <c r="BK5" s="10" t="inlineStr">
        <is>
          <t>Rest.</t>
        </is>
      </c>
      <c r="BL5" s="10" t="n"/>
      <c r="BM5" s="10" t="inlineStr">
        <is>
          <t>Cons.</t>
        </is>
      </c>
      <c r="BN5" s="10" t="inlineStr">
        <is>
          <t>Rest.</t>
        </is>
      </c>
      <c r="BO5" s="10" t="n"/>
      <c r="BP5" s="10" t="inlineStr">
        <is>
          <t>Cons.</t>
        </is>
      </c>
      <c r="BQ5" s="10" t="inlineStr">
        <is>
          <t>Rest.</t>
        </is>
      </c>
    </row>
    <row r="6">
      <c r="A6" s="1" t="n"/>
      <c r="B6" s="13" t="inlineStr">
        <is>
          <t>HU-02</t>
        </is>
      </c>
      <c r="C6" s="13" t="inlineStr">
        <is>
          <t>Como un Bombero Encargado de Flota, necesito registrar los repuestos (insumos) usados en una mantención, con la finalidad de conocer qué repuestos se usan y cuánto cuestan.</t>
        </is>
      </c>
      <c r="D6" s="13" t="inlineStr">
        <is>
          <t>T12 Crear modelos BD Insumo y MantencionInsu</t>
        </is>
      </c>
      <c r="E6" s="13" t="inlineStr">
        <is>
          <t>Equipo Scrum</t>
        </is>
      </c>
      <c r="F6" s="13" t="inlineStr">
        <is>
          <t>Hecho</t>
        </is>
      </c>
      <c r="G6" s="13" t="n">
        <v>2</v>
      </c>
      <c r="H6" s="15" t="n">
        <v>2</v>
      </c>
      <c r="I6" s="15">
        <f>G6-H6</f>
        <v/>
      </c>
      <c r="J6" s="12" t="n"/>
      <c r="K6" s="15" t="n"/>
      <c r="L6" s="15">
        <f>I6-K6</f>
        <v/>
      </c>
      <c r="M6" s="12" t="n"/>
      <c r="N6" s="15" t="n"/>
      <c r="O6" s="15">
        <f>L6-N6</f>
        <v/>
      </c>
      <c r="P6" s="12" t="n"/>
      <c r="Q6" s="15" t="n"/>
      <c r="R6" s="15">
        <f>O6-Q6</f>
        <v/>
      </c>
      <c r="S6" s="12" t="n"/>
      <c r="T6" s="15" t="n"/>
      <c r="U6" s="15">
        <f>R6-T6</f>
        <v/>
      </c>
      <c r="V6" s="12" t="n"/>
      <c r="W6" s="15" t="n"/>
      <c r="X6" s="15">
        <f>U6-W6</f>
        <v/>
      </c>
      <c r="Y6" s="12" t="n"/>
      <c r="Z6" s="15" t="n"/>
      <c r="AA6" s="15">
        <f>X6-Z6</f>
        <v/>
      </c>
      <c r="AB6" s="12" t="n"/>
      <c r="AC6" s="15" t="n"/>
      <c r="AD6" s="15">
        <f>AA6-AC6</f>
        <v/>
      </c>
      <c r="AE6" s="12" t="n"/>
      <c r="AF6" s="15" t="n"/>
      <c r="AG6" s="15">
        <f>AD6-AF6</f>
        <v/>
      </c>
      <c r="AH6" s="12" t="n"/>
      <c r="AI6" s="15" t="n"/>
      <c r="AJ6" s="15">
        <f>AG6-AI6</f>
        <v/>
      </c>
      <c r="AK6" s="12" t="n"/>
      <c r="AL6" s="15" t="n"/>
      <c r="AM6" s="15">
        <f>AJ6-AL6</f>
        <v/>
      </c>
      <c r="AN6" s="12" t="n"/>
      <c r="AO6" s="15" t="n"/>
      <c r="AP6" s="15">
        <f>AM6-AO6</f>
        <v/>
      </c>
      <c r="AQ6" s="12" t="n"/>
      <c r="AR6" s="15" t="n"/>
      <c r="AS6" s="15">
        <f>AP6-AR6</f>
        <v/>
      </c>
      <c r="AT6" s="12" t="n"/>
      <c r="AU6" s="15" t="n"/>
      <c r="AV6" s="15">
        <f>AS6-AU6</f>
        <v/>
      </c>
      <c r="AW6" s="12" t="n"/>
      <c r="AX6" s="15" t="n"/>
      <c r="AY6" s="15">
        <f>AV6-AX6</f>
        <v/>
      </c>
      <c r="AZ6" s="12" t="n"/>
      <c r="BA6" s="15" t="n"/>
      <c r="BB6" s="15">
        <f>AY6-BA6</f>
        <v/>
      </c>
      <c r="BC6" s="12" t="n"/>
      <c r="BD6" s="15" t="n"/>
      <c r="BE6" s="15">
        <f>BB6-BD6</f>
        <v/>
      </c>
      <c r="BF6" s="12" t="n"/>
      <c r="BG6" s="15" t="n"/>
      <c r="BH6" s="15">
        <f>BE6-BG6</f>
        <v/>
      </c>
      <c r="BI6" s="12" t="n"/>
      <c r="BJ6" s="15" t="n"/>
      <c r="BK6" s="15">
        <f>BH6-BJ6</f>
        <v/>
      </c>
      <c r="BL6" s="12" t="n"/>
      <c r="BM6" s="15" t="n"/>
      <c r="BN6" s="15">
        <f>BK6-BM6</f>
        <v/>
      </c>
      <c r="BO6" s="12" t="n"/>
      <c r="BP6" s="16">
        <f>H6+K6+N6+Q6+T6+W6+Z6+AC6+AF6+AI6+AL6+AO6+AR6+AU6+AX6+BA6+BD6+BG6+BJ6+BM6</f>
        <v/>
      </c>
      <c r="BQ6" s="16">
        <f>G6-BP6</f>
        <v/>
      </c>
    </row>
    <row r="7">
      <c r="A7" s="1" t="n"/>
      <c r="B7" s="13" t="inlineStr">
        <is>
          <t>HU-02</t>
        </is>
      </c>
      <c r="C7" s="13" t="inlineStr">
        <is>
          <t>Como un Bombero Encargado de Flota, necesito registrar los repuestos (insumos) usados en una mantención, con la finalidad de conocer qué repuestos se usan y cuánto cuestan.</t>
        </is>
      </c>
      <c r="D7" s="13" t="inlineStr">
        <is>
          <t>T13 Asociar insumos (cantidad y costo) al registrar una mantención</t>
        </is>
      </c>
      <c r="E7" s="13" t="inlineStr">
        <is>
          <t>Equipo Scrum</t>
        </is>
      </c>
      <c r="F7" s="13" t="inlineStr">
        <is>
          <t>Hecho</t>
        </is>
      </c>
      <c r="G7" s="13" t="n">
        <v>3</v>
      </c>
      <c r="H7" s="15" t="n"/>
      <c r="I7" s="15">
        <f>G7-H7</f>
        <v/>
      </c>
      <c r="J7" s="12" t="n"/>
      <c r="K7" s="15" t="n">
        <v>3</v>
      </c>
      <c r="L7" s="15">
        <f>I7-K7</f>
        <v/>
      </c>
      <c r="M7" s="12" t="n"/>
      <c r="N7" s="15" t="n"/>
      <c r="O7" s="15">
        <f>L7-N7</f>
        <v/>
      </c>
      <c r="P7" s="12" t="n"/>
      <c r="Q7" s="15" t="n"/>
      <c r="R7" s="15">
        <f>O7-Q7</f>
        <v/>
      </c>
      <c r="S7" s="12" t="n"/>
      <c r="T7" s="15" t="n"/>
      <c r="U7" s="15">
        <f>R7-T7</f>
        <v/>
      </c>
      <c r="V7" s="12" t="n"/>
      <c r="W7" s="15" t="n"/>
      <c r="X7" s="15">
        <f>U7-W7</f>
        <v/>
      </c>
      <c r="Y7" s="12" t="n"/>
      <c r="Z7" s="15" t="n"/>
      <c r="AA7" s="15">
        <f>X7-Z7</f>
        <v/>
      </c>
      <c r="AB7" s="12" t="n"/>
      <c r="AC7" s="15" t="n"/>
      <c r="AD7" s="15">
        <f>AA7-AC7</f>
        <v/>
      </c>
      <c r="AE7" s="12" t="n"/>
      <c r="AF7" s="15" t="n"/>
      <c r="AG7" s="15">
        <f>AD7-AF7</f>
        <v/>
      </c>
      <c r="AH7" s="12" t="n"/>
      <c r="AI7" s="15" t="n"/>
      <c r="AJ7" s="15">
        <f>AG7-AI7</f>
        <v/>
      </c>
      <c r="AK7" s="12" t="n"/>
      <c r="AL7" s="15" t="n"/>
      <c r="AM7" s="15">
        <f>AJ7-AL7</f>
        <v/>
      </c>
      <c r="AN7" s="12" t="n"/>
      <c r="AO7" s="15" t="n"/>
      <c r="AP7" s="15">
        <f>AM7-AO7</f>
        <v/>
      </c>
      <c r="AQ7" s="12" t="n"/>
      <c r="AR7" s="15" t="n"/>
      <c r="AS7" s="15">
        <f>AP7-AR7</f>
        <v/>
      </c>
      <c r="AT7" s="12" t="n"/>
      <c r="AU7" s="15" t="n"/>
      <c r="AV7" s="15">
        <f>AS7-AU7</f>
        <v/>
      </c>
      <c r="AW7" s="12" t="n"/>
      <c r="AX7" s="15" t="n"/>
      <c r="AY7" s="15">
        <f>AV7-AX7</f>
        <v/>
      </c>
      <c r="AZ7" s="12" t="n"/>
      <c r="BA7" s="15" t="n"/>
      <c r="BB7" s="15">
        <f>AY7-BA7</f>
        <v/>
      </c>
      <c r="BC7" s="12" t="n"/>
      <c r="BD7" s="15" t="n"/>
      <c r="BE7" s="15">
        <f>BB7-BD7</f>
        <v/>
      </c>
      <c r="BF7" s="12" t="n"/>
      <c r="BG7" s="15" t="n"/>
      <c r="BH7" s="15">
        <f>BE7-BG7</f>
        <v/>
      </c>
      <c r="BI7" s="12" t="n"/>
      <c r="BJ7" s="15" t="n"/>
      <c r="BK7" s="15">
        <f>BH7-BJ7</f>
        <v/>
      </c>
      <c r="BL7" s="12" t="n"/>
      <c r="BM7" s="15" t="n"/>
      <c r="BN7" s="15">
        <f>BK7-BM7</f>
        <v/>
      </c>
      <c r="BO7" s="12" t="n"/>
      <c r="BP7" s="16">
        <f>H7+K7+N7+Q7+T7+W7+Z7+AC7+AF7+AI7+AL7+AO7+AR7+AU7+AX7+BA7+BD7+BG7+BJ7+BM7</f>
        <v/>
      </c>
      <c r="BQ7" s="16">
        <f>G7-BP7</f>
        <v/>
      </c>
    </row>
    <row r="8">
      <c r="A8" s="1" t="n"/>
      <c r="B8" s="13" t="inlineStr">
        <is>
          <t>HU-05</t>
        </is>
      </c>
      <c r="C8" s="13" t="inlineStr">
        <is>
          <t>Como un Bombero Chofer, necesito consultar el historial de mantenciones del vehículo, con la finalidad de conocer su estado general y qué mantenciones se le han hecho.</t>
        </is>
      </c>
      <c r="D8" s="13" t="inlineStr">
        <is>
          <t>T14 Crear vista de historial de mantenciones por vehículo</t>
        </is>
      </c>
      <c r="E8" s="13" t="inlineStr">
        <is>
          <t>Equipo Scrum</t>
        </is>
      </c>
      <c r="F8" s="13" t="inlineStr">
        <is>
          <t>Hecho</t>
        </is>
      </c>
      <c r="G8" s="13" t="n">
        <v>2</v>
      </c>
      <c r="H8" s="15" t="n"/>
      <c r="I8" s="15">
        <f>G8-H8</f>
        <v/>
      </c>
      <c r="J8" s="12" t="n"/>
      <c r="K8" s="15" t="n"/>
      <c r="L8" s="15">
        <f>I8-K8</f>
        <v/>
      </c>
      <c r="M8" s="12" t="n"/>
      <c r="N8" s="15" t="n">
        <v>2</v>
      </c>
      <c r="O8" s="15">
        <f>L8-N8</f>
        <v/>
      </c>
      <c r="P8" s="12" t="n"/>
      <c r="Q8" s="15" t="n"/>
      <c r="R8" s="15">
        <f>O8-Q8</f>
        <v/>
      </c>
      <c r="S8" s="12" t="n"/>
      <c r="T8" s="15" t="n"/>
      <c r="U8" s="15">
        <f>R8-T8</f>
        <v/>
      </c>
      <c r="V8" s="12" t="n"/>
      <c r="W8" s="15" t="n"/>
      <c r="X8" s="15">
        <f>U8-W8</f>
        <v/>
      </c>
      <c r="Y8" s="12" t="n"/>
      <c r="Z8" s="15" t="n"/>
      <c r="AA8" s="15">
        <f>X8-Z8</f>
        <v/>
      </c>
      <c r="AB8" s="12" t="n"/>
      <c r="AC8" s="15" t="n"/>
      <c r="AD8" s="15">
        <f>AA8-AC8</f>
        <v/>
      </c>
      <c r="AE8" s="12" t="n"/>
      <c r="AF8" s="15" t="n"/>
      <c r="AG8" s="15">
        <f>AD8-AF8</f>
        <v/>
      </c>
      <c r="AH8" s="12" t="n"/>
      <c r="AI8" s="15" t="n"/>
      <c r="AJ8" s="15">
        <f>AG8-AI8</f>
        <v/>
      </c>
      <c r="AK8" s="12" t="n"/>
      <c r="AL8" s="15" t="n"/>
      <c r="AM8" s="15">
        <f>AJ8-AL8</f>
        <v/>
      </c>
      <c r="AN8" s="12" t="n"/>
      <c r="AO8" s="15" t="n"/>
      <c r="AP8" s="15">
        <f>AM8-AO8</f>
        <v/>
      </c>
      <c r="AQ8" s="12" t="n"/>
      <c r="AR8" s="15" t="n"/>
      <c r="AS8" s="15">
        <f>AP8-AR8</f>
        <v/>
      </c>
      <c r="AT8" s="12" t="n"/>
      <c r="AU8" s="15" t="n"/>
      <c r="AV8" s="15">
        <f>AS8-AU8</f>
        <v/>
      </c>
      <c r="AW8" s="12" t="n"/>
      <c r="AX8" s="15" t="n"/>
      <c r="AY8" s="15">
        <f>AV8-AX8</f>
        <v/>
      </c>
      <c r="AZ8" s="12" t="n"/>
      <c r="BA8" s="15" t="n"/>
      <c r="BB8" s="15">
        <f>AY8-BA8</f>
        <v/>
      </c>
      <c r="BC8" s="12" t="n"/>
      <c r="BD8" s="15" t="n"/>
      <c r="BE8" s="15">
        <f>BB8-BD8</f>
        <v/>
      </c>
      <c r="BF8" s="12" t="n"/>
      <c r="BG8" s="15" t="n"/>
      <c r="BH8" s="15">
        <f>BE8-BG8</f>
        <v/>
      </c>
      <c r="BI8" s="12" t="n"/>
      <c r="BJ8" s="15" t="n"/>
      <c r="BK8" s="15">
        <f>BH8-BJ8</f>
        <v/>
      </c>
      <c r="BL8" s="12" t="n"/>
      <c r="BM8" s="15" t="n"/>
      <c r="BN8" s="15">
        <f>BK8-BM8</f>
        <v/>
      </c>
      <c r="BO8" s="12" t="n"/>
      <c r="BP8" s="16">
        <f>H8+K8+N8+Q8+T8+W8+Z8+AC8+AF8+AI8+AL8+AO8+AR8+AU8+AX8+BA8+BD8+BG8+BJ8+BM8</f>
        <v/>
      </c>
      <c r="BQ8" s="16">
        <f>G8-BP8</f>
        <v/>
      </c>
    </row>
    <row r="9">
      <c r="A9" s="1" t="n"/>
      <c r="B9" s="13" t="inlineStr">
        <is>
          <t>HU-05</t>
        </is>
      </c>
      <c r="C9" s="13" t="inlineStr">
        <is>
          <t>Como un Bombero Chofer, necesito consultar el historial de mantenciones del vehículo, con la finalidad de conocer su estado general y qué mantenciones se le han hecho.</t>
        </is>
      </c>
      <c r="D9" s="13" t="inlineStr">
        <is>
          <t>T15 Exponer el historial en la API para la app móvil</t>
        </is>
      </c>
      <c r="E9" s="13" t="inlineStr">
        <is>
          <t>Equipo Scrum</t>
        </is>
      </c>
      <c r="F9" s="13" t="inlineStr">
        <is>
          <t>Hecho</t>
        </is>
      </c>
      <c r="G9" s="13" t="n">
        <v>2</v>
      </c>
      <c r="H9" s="15" t="n"/>
      <c r="I9" s="15">
        <f>G9-H9</f>
        <v/>
      </c>
      <c r="J9" s="12" t="n"/>
      <c r="K9" s="15" t="n"/>
      <c r="L9" s="15">
        <f>I9-K9</f>
        <v/>
      </c>
      <c r="M9" s="12" t="n"/>
      <c r="N9" s="15" t="n"/>
      <c r="O9" s="15">
        <f>L9-N9</f>
        <v/>
      </c>
      <c r="P9" s="12" t="n"/>
      <c r="Q9" s="15" t="n">
        <v>2</v>
      </c>
      <c r="R9" s="15">
        <f>O9-Q9</f>
        <v/>
      </c>
      <c r="S9" s="12" t="n"/>
      <c r="T9" s="15" t="n"/>
      <c r="U9" s="15">
        <f>R9-T9</f>
        <v/>
      </c>
      <c r="V9" s="12" t="n"/>
      <c r="W9" s="15" t="n"/>
      <c r="X9" s="15">
        <f>U9-W9</f>
        <v/>
      </c>
      <c r="Y9" s="12" t="n"/>
      <c r="Z9" s="15" t="n"/>
      <c r="AA9" s="15">
        <f>X9-Z9</f>
        <v/>
      </c>
      <c r="AB9" s="12" t="n"/>
      <c r="AC9" s="15" t="n"/>
      <c r="AD9" s="15">
        <f>AA9-AC9</f>
        <v/>
      </c>
      <c r="AE9" s="12" t="n"/>
      <c r="AF9" s="15" t="n"/>
      <c r="AG9" s="15">
        <f>AD9-AF9</f>
        <v/>
      </c>
      <c r="AH9" s="12" t="n"/>
      <c r="AI9" s="15" t="n"/>
      <c r="AJ9" s="15">
        <f>AG9-AI9</f>
        <v/>
      </c>
      <c r="AK9" s="12" t="n"/>
      <c r="AL9" s="15" t="n"/>
      <c r="AM9" s="15">
        <f>AJ9-AL9</f>
        <v/>
      </c>
      <c r="AN9" s="12" t="n"/>
      <c r="AO9" s="15" t="n"/>
      <c r="AP9" s="15">
        <f>AM9-AO9</f>
        <v/>
      </c>
      <c r="AQ9" s="12" t="n"/>
      <c r="AR9" s="15" t="n"/>
      <c r="AS9" s="15">
        <f>AP9-AR9</f>
        <v/>
      </c>
      <c r="AT9" s="12" t="n"/>
      <c r="AU9" s="15" t="n"/>
      <c r="AV9" s="15">
        <f>AS9-AU9</f>
        <v/>
      </c>
      <c r="AW9" s="12" t="n"/>
      <c r="AX9" s="15" t="n"/>
      <c r="AY9" s="15">
        <f>AV9-AX9</f>
        <v/>
      </c>
      <c r="AZ9" s="12" t="n"/>
      <c r="BA9" s="15" t="n"/>
      <c r="BB9" s="15">
        <f>AY9-BA9</f>
        <v/>
      </c>
      <c r="BC9" s="12" t="n"/>
      <c r="BD9" s="15" t="n"/>
      <c r="BE9" s="15">
        <f>BB9-BD9</f>
        <v/>
      </c>
      <c r="BF9" s="12" t="n"/>
      <c r="BG9" s="15" t="n"/>
      <c r="BH9" s="15">
        <f>BE9-BG9</f>
        <v/>
      </c>
      <c r="BI9" s="12" t="n"/>
      <c r="BJ9" s="15" t="n"/>
      <c r="BK9" s="15">
        <f>BH9-BJ9</f>
        <v/>
      </c>
      <c r="BL9" s="12" t="n"/>
      <c r="BM9" s="15" t="n"/>
      <c r="BN9" s="15">
        <f>BK9-BM9</f>
        <v/>
      </c>
      <c r="BO9" s="12" t="n"/>
      <c r="BP9" s="16">
        <f>H9+K9+N9+Q9+T9+W9+Z9+AC9+AF9+AI9+AL9+AO9+AR9+AU9+AX9+BA9+BD9+BG9+BJ9+BM9</f>
        <v/>
      </c>
      <c r="BQ9" s="16">
        <f>G9-BP9</f>
        <v/>
      </c>
    </row>
    <row r="10">
      <c r="A10" s="1" t="n"/>
      <c r="B10" s="13" t="inlineStr">
        <is>
          <t>HU-06</t>
        </is>
      </c>
      <c r="C10" s="13" t="inlineStr">
        <is>
          <t>Como un Bombero Encargado de Flota, necesito ver el costo total (presupuesto) de cada mantención, con la finalidad de conocer el costo total de cada reparación.</t>
        </is>
      </c>
      <c r="D10" s="13" t="inlineStr">
        <is>
          <t>T16 Calcular el costo total de cada mantención a partir de sus insumos</t>
        </is>
      </c>
      <c r="E10" s="13" t="inlineStr">
        <is>
          <t>Equipo Scrum</t>
        </is>
      </c>
      <c r="F10" s="13" t="inlineStr">
        <is>
          <t>Hecho</t>
        </is>
      </c>
      <c r="G10" s="13" t="n">
        <v>2</v>
      </c>
      <c r="H10" s="15" t="n">
        <v>2</v>
      </c>
      <c r="I10" s="15">
        <f>G10-H10</f>
        <v/>
      </c>
      <c r="J10" s="12" t="n"/>
      <c r="K10" s="15" t="n"/>
      <c r="L10" s="15">
        <f>I10-K10</f>
        <v/>
      </c>
      <c r="M10" s="12" t="n"/>
      <c r="N10" s="15" t="n"/>
      <c r="O10" s="15">
        <f>L10-N10</f>
        <v/>
      </c>
      <c r="P10" s="12" t="n"/>
      <c r="Q10" s="15" t="n"/>
      <c r="R10" s="15">
        <f>O10-Q10</f>
        <v/>
      </c>
      <c r="S10" s="12" t="n"/>
      <c r="T10" s="15" t="n"/>
      <c r="U10" s="15">
        <f>R10-T10</f>
        <v/>
      </c>
      <c r="V10" s="12" t="n"/>
      <c r="W10" s="15" t="n"/>
      <c r="X10" s="15">
        <f>U10-W10</f>
        <v/>
      </c>
      <c r="Y10" s="12" t="n"/>
      <c r="Z10" s="15" t="n"/>
      <c r="AA10" s="15">
        <f>X10-Z10</f>
        <v/>
      </c>
      <c r="AB10" s="12" t="n"/>
      <c r="AC10" s="15" t="n"/>
      <c r="AD10" s="15">
        <f>AA10-AC10</f>
        <v/>
      </c>
      <c r="AE10" s="12" t="n"/>
      <c r="AF10" s="15" t="n"/>
      <c r="AG10" s="15">
        <f>AD10-AF10</f>
        <v/>
      </c>
      <c r="AH10" s="12" t="n"/>
      <c r="AI10" s="15" t="n"/>
      <c r="AJ10" s="15">
        <f>AG10-AI10</f>
        <v/>
      </c>
      <c r="AK10" s="12" t="n"/>
      <c r="AL10" s="15" t="n"/>
      <c r="AM10" s="15">
        <f>AJ10-AL10</f>
        <v/>
      </c>
      <c r="AN10" s="12" t="n"/>
      <c r="AO10" s="15" t="n"/>
      <c r="AP10" s="15">
        <f>AM10-AO10</f>
        <v/>
      </c>
      <c r="AQ10" s="12" t="n"/>
      <c r="AR10" s="15" t="n"/>
      <c r="AS10" s="15">
        <f>AP10-AR10</f>
        <v/>
      </c>
      <c r="AT10" s="12" t="n"/>
      <c r="AU10" s="15" t="n"/>
      <c r="AV10" s="15">
        <f>AS10-AU10</f>
        <v/>
      </c>
      <c r="AW10" s="12" t="n"/>
      <c r="AX10" s="15" t="n"/>
      <c r="AY10" s="15">
        <f>AV10-AX10</f>
        <v/>
      </c>
      <c r="AZ10" s="12" t="n"/>
      <c r="BA10" s="15" t="n"/>
      <c r="BB10" s="15">
        <f>AY10-BA10</f>
        <v/>
      </c>
      <c r="BC10" s="12" t="n"/>
      <c r="BD10" s="15" t="n"/>
      <c r="BE10" s="15">
        <f>BB10-BD10</f>
        <v/>
      </c>
      <c r="BF10" s="12" t="n"/>
      <c r="BG10" s="15" t="n"/>
      <c r="BH10" s="15">
        <f>BE10-BG10</f>
        <v/>
      </c>
      <c r="BI10" s="12" t="n"/>
      <c r="BJ10" s="15" t="n"/>
      <c r="BK10" s="15">
        <f>BH10-BJ10</f>
        <v/>
      </c>
      <c r="BL10" s="12" t="n"/>
      <c r="BM10" s="15" t="n"/>
      <c r="BN10" s="15">
        <f>BK10-BM10</f>
        <v/>
      </c>
      <c r="BO10" s="12" t="n"/>
      <c r="BP10" s="16">
        <f>H10+K10+N10+Q10+T10+W10+Z10+AC10+AF10+AI10+AL10+AO10+AR10+AU10+AX10+BA10+BD10+BG10+BJ10+BM10</f>
        <v/>
      </c>
      <c r="BQ10" s="16">
        <f>G10-BP10</f>
        <v/>
      </c>
    </row>
    <row r="11">
      <c r="A11" s="1" t="n"/>
      <c r="B11" s="13" t="inlineStr">
        <is>
          <t>HU-06</t>
        </is>
      </c>
      <c r="C11" s="13" t="inlineStr">
        <is>
          <t>Como un Bombero Encargado de Flota, necesito ver el costo total (presupuesto) de cada mantención, con la finalidad de conocer el costo total de cada reparación.</t>
        </is>
      </c>
      <c r="D11" s="13" t="inlineStr">
        <is>
          <t>T17 Mostrar el costo total en el historial</t>
        </is>
      </c>
      <c r="E11" s="13" t="inlineStr">
        <is>
          <t>Equipo Scrum</t>
        </is>
      </c>
      <c r="F11" s="13" t="inlineStr">
        <is>
          <t>Hecho</t>
        </is>
      </c>
      <c r="G11" s="13" t="n">
        <v>1</v>
      </c>
      <c r="H11" s="15" t="n"/>
      <c r="I11" s="15">
        <f>G11-H11</f>
        <v/>
      </c>
      <c r="J11" s="12" t="n"/>
      <c r="K11" s="15" t="n">
        <v>1</v>
      </c>
      <c r="L11" s="15">
        <f>I11-K11</f>
        <v/>
      </c>
      <c r="M11" s="12" t="n"/>
      <c r="N11" s="15" t="n"/>
      <c r="O11" s="15">
        <f>L11-N11</f>
        <v/>
      </c>
      <c r="P11" s="12" t="n"/>
      <c r="Q11" s="15" t="n"/>
      <c r="R11" s="15">
        <f>O11-Q11</f>
        <v/>
      </c>
      <c r="S11" s="12" t="n"/>
      <c r="T11" s="15" t="n"/>
      <c r="U11" s="15">
        <f>R11-T11</f>
        <v/>
      </c>
      <c r="V11" s="12" t="n"/>
      <c r="W11" s="15" t="n"/>
      <c r="X11" s="15">
        <f>U11-W11</f>
        <v/>
      </c>
      <c r="Y11" s="12" t="n"/>
      <c r="Z11" s="15" t="n"/>
      <c r="AA11" s="15">
        <f>X11-Z11</f>
        <v/>
      </c>
      <c r="AB11" s="12" t="n"/>
      <c r="AC11" s="15" t="n"/>
      <c r="AD11" s="15">
        <f>AA11-AC11</f>
        <v/>
      </c>
      <c r="AE11" s="12" t="n"/>
      <c r="AF11" s="15" t="n"/>
      <c r="AG11" s="15">
        <f>AD11-AF11</f>
        <v/>
      </c>
      <c r="AH11" s="12" t="n"/>
      <c r="AI11" s="15" t="n"/>
      <c r="AJ11" s="15">
        <f>AG11-AI11</f>
        <v/>
      </c>
      <c r="AK11" s="12" t="n"/>
      <c r="AL11" s="15" t="n"/>
      <c r="AM11" s="15">
        <f>AJ11-AL11</f>
        <v/>
      </c>
      <c r="AN11" s="12" t="n"/>
      <c r="AO11" s="15" t="n"/>
      <c r="AP11" s="15">
        <f>AM11-AO11</f>
        <v/>
      </c>
      <c r="AQ11" s="12" t="n"/>
      <c r="AR11" s="15" t="n"/>
      <c r="AS11" s="15">
        <f>AP11-AR11</f>
        <v/>
      </c>
      <c r="AT11" s="12" t="n"/>
      <c r="AU11" s="15" t="n"/>
      <c r="AV11" s="15">
        <f>AS11-AU11</f>
        <v/>
      </c>
      <c r="AW11" s="12" t="n"/>
      <c r="AX11" s="15" t="n"/>
      <c r="AY11" s="15">
        <f>AV11-AX11</f>
        <v/>
      </c>
      <c r="AZ11" s="12" t="n"/>
      <c r="BA11" s="15" t="n"/>
      <c r="BB11" s="15">
        <f>AY11-BA11</f>
        <v/>
      </c>
      <c r="BC11" s="12" t="n"/>
      <c r="BD11" s="15" t="n"/>
      <c r="BE11" s="15">
        <f>BB11-BD11</f>
        <v/>
      </c>
      <c r="BF11" s="12" t="n"/>
      <c r="BG11" s="15" t="n"/>
      <c r="BH11" s="15">
        <f>BE11-BG11</f>
        <v/>
      </c>
      <c r="BI11" s="12" t="n"/>
      <c r="BJ11" s="15" t="n"/>
      <c r="BK11" s="15">
        <f>BH11-BJ11</f>
        <v/>
      </c>
      <c r="BL11" s="12" t="n"/>
      <c r="BM11" s="15" t="n"/>
      <c r="BN11" s="15">
        <f>BK11-BM11</f>
        <v/>
      </c>
      <c r="BO11" s="12" t="n"/>
      <c r="BP11" s="16">
        <f>H11+K11+N11+Q11+T11+W11+Z11+AC11+AF11+AI11+AL11+AO11+AR11+AU11+AX11+BA11+BD11+BG11+BJ11+BM11</f>
        <v/>
      </c>
      <c r="BQ11" s="16">
        <f>G11-BP11</f>
        <v/>
      </c>
    </row>
    <row r="12">
      <c r="A12" s="1" t="n"/>
      <c r="B12" s="13" t="inlineStr">
        <is>
          <t>HU-09</t>
        </is>
      </c>
      <c r="C12" s="13" t="inlineStr">
        <is>
          <t>Como un Bombero Encargado de Flota, necesito ver alertas de mantenciones por vencer y vencidas, con la finalidad de programar las mantenciones a tiempo.</t>
        </is>
      </c>
      <c r="D12" s="13" t="inlineStr">
        <is>
          <t>T18 Programar la lógica de estado del vehículo (por vencer o vencida, 7 días)</t>
        </is>
      </c>
      <c r="E12" s="13" t="inlineStr">
        <is>
          <t>Equipo Scrum</t>
        </is>
      </c>
      <c r="F12" s="13" t="inlineStr">
        <is>
          <t>Hecho</t>
        </is>
      </c>
      <c r="G12" s="13" t="n">
        <v>2</v>
      </c>
      <c r="H12" s="15" t="n"/>
      <c r="I12" s="15">
        <f>G12-H12</f>
        <v/>
      </c>
      <c r="J12" s="12" t="n"/>
      <c r="K12" s="15" t="n">
        <v>2</v>
      </c>
      <c r="L12" s="15">
        <f>I12-K12</f>
        <v/>
      </c>
      <c r="M12" s="12" t="n"/>
      <c r="N12" s="15" t="n"/>
      <c r="O12" s="15">
        <f>L12-N12</f>
        <v/>
      </c>
      <c r="P12" s="12" t="n"/>
      <c r="Q12" s="15" t="n"/>
      <c r="R12" s="15">
        <f>O12-Q12</f>
        <v/>
      </c>
      <c r="S12" s="12" t="n"/>
      <c r="T12" s="15" t="n"/>
      <c r="U12" s="15">
        <f>R12-T12</f>
        <v/>
      </c>
      <c r="V12" s="12" t="n"/>
      <c r="W12" s="15" t="n"/>
      <c r="X12" s="15">
        <f>U12-W12</f>
        <v/>
      </c>
      <c r="Y12" s="12" t="n"/>
      <c r="Z12" s="15" t="n"/>
      <c r="AA12" s="15">
        <f>X12-Z12</f>
        <v/>
      </c>
      <c r="AB12" s="12" t="n"/>
      <c r="AC12" s="15" t="n"/>
      <c r="AD12" s="15">
        <f>AA12-AC12</f>
        <v/>
      </c>
      <c r="AE12" s="12" t="n"/>
      <c r="AF12" s="15" t="n"/>
      <c r="AG12" s="15">
        <f>AD12-AF12</f>
        <v/>
      </c>
      <c r="AH12" s="12" t="n"/>
      <c r="AI12" s="15" t="n"/>
      <c r="AJ12" s="15">
        <f>AG12-AI12</f>
        <v/>
      </c>
      <c r="AK12" s="12" t="n"/>
      <c r="AL12" s="15" t="n"/>
      <c r="AM12" s="15">
        <f>AJ12-AL12</f>
        <v/>
      </c>
      <c r="AN12" s="12" t="n"/>
      <c r="AO12" s="15" t="n"/>
      <c r="AP12" s="15">
        <f>AM12-AO12</f>
        <v/>
      </c>
      <c r="AQ12" s="12" t="n"/>
      <c r="AR12" s="15" t="n"/>
      <c r="AS12" s="15">
        <f>AP12-AR12</f>
        <v/>
      </c>
      <c r="AT12" s="12" t="n"/>
      <c r="AU12" s="15" t="n"/>
      <c r="AV12" s="15">
        <f>AS12-AU12</f>
        <v/>
      </c>
      <c r="AW12" s="12" t="n"/>
      <c r="AX12" s="15" t="n"/>
      <c r="AY12" s="15">
        <f>AV12-AX12</f>
        <v/>
      </c>
      <c r="AZ12" s="12" t="n"/>
      <c r="BA12" s="15" t="n"/>
      <c r="BB12" s="15">
        <f>AY12-BA12</f>
        <v/>
      </c>
      <c r="BC12" s="12" t="n"/>
      <c r="BD12" s="15" t="n"/>
      <c r="BE12" s="15">
        <f>BB12-BD12</f>
        <v/>
      </c>
      <c r="BF12" s="12" t="n"/>
      <c r="BG12" s="15" t="n"/>
      <c r="BH12" s="15">
        <f>BE12-BG12</f>
        <v/>
      </c>
      <c r="BI12" s="12" t="n"/>
      <c r="BJ12" s="15" t="n"/>
      <c r="BK12" s="15">
        <f>BH12-BJ12</f>
        <v/>
      </c>
      <c r="BL12" s="12" t="n"/>
      <c r="BM12" s="15" t="n"/>
      <c r="BN12" s="15">
        <f>BK12-BM12</f>
        <v/>
      </c>
      <c r="BO12" s="12" t="n"/>
      <c r="BP12" s="16">
        <f>H12+K12+N12+Q12+T12+W12+Z12+AC12+AF12+AI12+AL12+AO12+AR12+AU12+AX12+BA12+BD12+BG12+BJ12+BM12</f>
        <v/>
      </c>
      <c r="BQ12" s="16">
        <f>G12-BP12</f>
        <v/>
      </c>
    </row>
    <row r="13">
      <c r="A13" s="1" t="n"/>
      <c r="B13" s="13" t="inlineStr">
        <is>
          <t>HU-09</t>
        </is>
      </c>
      <c r="C13" s="13" t="inlineStr">
        <is>
          <t>Como un Bombero Encargado de Flota, necesito ver alertas de mantenciones por vencer y vencidas, con la finalidad de programar las mantenciones a tiempo.</t>
        </is>
      </c>
      <c r="D13" s="13" t="inlineStr">
        <is>
          <t>T19 Mostrar las alertas en el dashboard web y en la app</t>
        </is>
      </c>
      <c r="E13" s="13" t="inlineStr">
        <is>
          <t>Equipo Scrum</t>
        </is>
      </c>
      <c r="F13" s="13" t="inlineStr">
        <is>
          <t>Hecho</t>
        </is>
      </c>
      <c r="G13" s="13" t="n">
        <v>2</v>
      </c>
      <c r="H13" s="15" t="n"/>
      <c r="I13" s="15">
        <f>G13-H13</f>
        <v/>
      </c>
      <c r="J13" s="12" t="n"/>
      <c r="K13" s="15" t="n"/>
      <c r="L13" s="15">
        <f>I13-K13</f>
        <v/>
      </c>
      <c r="M13" s="12" t="n"/>
      <c r="N13" s="15" t="n">
        <v>2</v>
      </c>
      <c r="O13" s="15">
        <f>L13-N13</f>
        <v/>
      </c>
      <c r="P13" s="12" t="n"/>
      <c r="Q13" s="15" t="n"/>
      <c r="R13" s="15">
        <f>O13-Q13</f>
        <v/>
      </c>
      <c r="S13" s="12" t="n"/>
      <c r="T13" s="15" t="n"/>
      <c r="U13" s="15">
        <f>R13-T13</f>
        <v/>
      </c>
      <c r="V13" s="12" t="n"/>
      <c r="W13" s="15" t="n"/>
      <c r="X13" s="15">
        <f>U13-W13</f>
        <v/>
      </c>
      <c r="Y13" s="12" t="n"/>
      <c r="Z13" s="15" t="n"/>
      <c r="AA13" s="15">
        <f>X13-Z13</f>
        <v/>
      </c>
      <c r="AB13" s="12" t="n"/>
      <c r="AC13" s="15" t="n"/>
      <c r="AD13" s="15">
        <f>AA13-AC13</f>
        <v/>
      </c>
      <c r="AE13" s="12" t="n"/>
      <c r="AF13" s="15" t="n"/>
      <c r="AG13" s="15">
        <f>AD13-AF13</f>
        <v/>
      </c>
      <c r="AH13" s="12" t="n"/>
      <c r="AI13" s="15" t="n"/>
      <c r="AJ13" s="15">
        <f>AG13-AI13</f>
        <v/>
      </c>
      <c r="AK13" s="12" t="n"/>
      <c r="AL13" s="15" t="n"/>
      <c r="AM13" s="15">
        <f>AJ13-AL13</f>
        <v/>
      </c>
      <c r="AN13" s="12" t="n"/>
      <c r="AO13" s="15" t="n"/>
      <c r="AP13" s="15">
        <f>AM13-AO13</f>
        <v/>
      </c>
      <c r="AQ13" s="12" t="n"/>
      <c r="AR13" s="15" t="n"/>
      <c r="AS13" s="15">
        <f>AP13-AR13</f>
        <v/>
      </c>
      <c r="AT13" s="12" t="n"/>
      <c r="AU13" s="15" t="n"/>
      <c r="AV13" s="15">
        <f>AS13-AU13</f>
        <v/>
      </c>
      <c r="AW13" s="12" t="n"/>
      <c r="AX13" s="15" t="n"/>
      <c r="AY13" s="15">
        <f>AV13-AX13</f>
        <v/>
      </c>
      <c r="AZ13" s="12" t="n"/>
      <c r="BA13" s="15" t="n"/>
      <c r="BB13" s="15">
        <f>AY13-BA13</f>
        <v/>
      </c>
      <c r="BC13" s="12" t="n"/>
      <c r="BD13" s="15" t="n"/>
      <c r="BE13" s="15">
        <f>BB13-BD13</f>
        <v/>
      </c>
      <c r="BF13" s="12" t="n"/>
      <c r="BG13" s="15" t="n"/>
      <c r="BH13" s="15">
        <f>BE13-BG13</f>
        <v/>
      </c>
      <c r="BI13" s="12" t="n"/>
      <c r="BJ13" s="15" t="n"/>
      <c r="BK13" s="15">
        <f>BH13-BJ13</f>
        <v/>
      </c>
      <c r="BL13" s="12" t="n"/>
      <c r="BM13" s="15" t="n"/>
      <c r="BN13" s="15">
        <f>BK13-BM13</f>
        <v/>
      </c>
      <c r="BO13" s="12" t="n"/>
      <c r="BP13" s="16">
        <f>H13+K13+N13+Q13+T13+W13+Z13+AC13+AF13+AI13+AL13+AO13+AR13+AU13+AX13+BA13+BD13+BG13+BJ13+BM13</f>
        <v/>
      </c>
      <c r="BQ13" s="16">
        <f>G13-BP13</f>
        <v/>
      </c>
    </row>
    <row r="14">
      <c r="A14" s="1" t="n"/>
      <c r="B14" s="13" t="inlineStr">
        <is>
          <t>HU-10</t>
        </is>
      </c>
      <c r="C14" s="13" t="inlineStr">
        <is>
          <t>Como un Administrador, necesito crear, editar y eliminar cuentas de usuario, con la finalidad de controlar quién accede al sistema y con qué rol.</t>
        </is>
      </c>
      <c r="D14" s="13" t="inlineStr">
        <is>
          <t>T20 Crear vista de usuarios restringida al rol Administrador</t>
        </is>
      </c>
      <c r="E14" s="13" t="inlineStr">
        <is>
          <t>Equipo Scrum</t>
        </is>
      </c>
      <c r="F14" s="13" t="inlineStr">
        <is>
          <t>Hecho</t>
        </is>
      </c>
      <c r="G14" s="13" t="n">
        <v>2</v>
      </c>
      <c r="H14" s="15" t="n"/>
      <c r="I14" s="15">
        <f>G14-H14</f>
        <v/>
      </c>
      <c r="J14" s="12" t="n"/>
      <c r="K14" s="15" t="n"/>
      <c r="L14" s="15">
        <f>I14-K14</f>
        <v/>
      </c>
      <c r="M14" s="12" t="n"/>
      <c r="N14" s="15" t="n">
        <v>1</v>
      </c>
      <c r="O14" s="15">
        <f>L14-N14</f>
        <v/>
      </c>
      <c r="P14" s="12" t="n"/>
      <c r="Q14" s="15" t="n">
        <v>1</v>
      </c>
      <c r="R14" s="15">
        <f>O14-Q14</f>
        <v/>
      </c>
      <c r="S14" s="12" t="n"/>
      <c r="T14" s="15" t="n"/>
      <c r="U14" s="15">
        <f>R14-T14</f>
        <v/>
      </c>
      <c r="V14" s="12" t="n"/>
      <c r="W14" s="15" t="n"/>
      <c r="X14" s="15">
        <f>U14-W14</f>
        <v/>
      </c>
      <c r="Y14" s="12" t="n"/>
      <c r="Z14" s="15" t="n"/>
      <c r="AA14" s="15">
        <f>X14-Z14</f>
        <v/>
      </c>
      <c r="AB14" s="12" t="n"/>
      <c r="AC14" s="15" t="n"/>
      <c r="AD14" s="15">
        <f>AA14-AC14</f>
        <v/>
      </c>
      <c r="AE14" s="12" t="n"/>
      <c r="AF14" s="15" t="n"/>
      <c r="AG14" s="15">
        <f>AD14-AF14</f>
        <v/>
      </c>
      <c r="AH14" s="12" t="n"/>
      <c r="AI14" s="15" t="n"/>
      <c r="AJ14" s="15">
        <f>AG14-AI14</f>
        <v/>
      </c>
      <c r="AK14" s="12" t="n"/>
      <c r="AL14" s="15" t="n"/>
      <c r="AM14" s="15">
        <f>AJ14-AL14</f>
        <v/>
      </c>
      <c r="AN14" s="12" t="n"/>
      <c r="AO14" s="15" t="n"/>
      <c r="AP14" s="15">
        <f>AM14-AO14</f>
        <v/>
      </c>
      <c r="AQ14" s="12" t="n"/>
      <c r="AR14" s="15" t="n"/>
      <c r="AS14" s="15">
        <f>AP14-AR14</f>
        <v/>
      </c>
      <c r="AT14" s="12" t="n"/>
      <c r="AU14" s="15" t="n"/>
      <c r="AV14" s="15">
        <f>AS14-AU14</f>
        <v/>
      </c>
      <c r="AW14" s="12" t="n"/>
      <c r="AX14" s="15" t="n"/>
      <c r="AY14" s="15">
        <f>AV14-AX14</f>
        <v/>
      </c>
      <c r="AZ14" s="12" t="n"/>
      <c r="BA14" s="15" t="n"/>
      <c r="BB14" s="15">
        <f>AY14-BA14</f>
        <v/>
      </c>
      <c r="BC14" s="12" t="n"/>
      <c r="BD14" s="15" t="n"/>
      <c r="BE14" s="15">
        <f>BB14-BD14</f>
        <v/>
      </c>
      <c r="BF14" s="12" t="n"/>
      <c r="BG14" s="15" t="n"/>
      <c r="BH14" s="15">
        <f>BE14-BG14</f>
        <v/>
      </c>
      <c r="BI14" s="12" t="n"/>
      <c r="BJ14" s="15" t="n"/>
      <c r="BK14" s="15">
        <f>BH14-BJ14</f>
        <v/>
      </c>
      <c r="BL14" s="12" t="n"/>
      <c r="BM14" s="15" t="n"/>
      <c r="BN14" s="15">
        <f>BK14-BM14</f>
        <v/>
      </c>
      <c r="BO14" s="12" t="n"/>
      <c r="BP14" s="16">
        <f>H14+K14+N14+Q14+T14+W14+Z14+AC14+AF14+AI14+AL14+AO14+AR14+AU14+AX14+BA14+BD14+BG14+BJ14+BM14</f>
        <v/>
      </c>
      <c r="BQ14" s="16">
        <f>G14-BP14</f>
        <v/>
      </c>
    </row>
    <row r="15">
      <c r="A15" s="1" t="n"/>
      <c r="B15" s="13" t="inlineStr">
        <is>
          <t>HU-10</t>
        </is>
      </c>
      <c r="C15" s="13" t="inlineStr">
        <is>
          <t>Como un Administrador, necesito crear, editar y eliminar cuentas de usuario, con la finalidad de controlar quién accede al sistema y con qué rol.</t>
        </is>
      </c>
      <c r="D15" s="13" t="inlineStr">
        <is>
          <t>T21 Crear, editar y eliminar usuarios con su rol</t>
        </is>
      </c>
      <c r="E15" s="13" t="inlineStr">
        <is>
          <t>Equipo Scrum</t>
        </is>
      </c>
      <c r="F15" s="13" t="inlineStr">
        <is>
          <t>Hecho</t>
        </is>
      </c>
      <c r="G15" s="13" t="n">
        <v>3</v>
      </c>
      <c r="H15" s="15" t="n"/>
      <c r="I15" s="15">
        <f>G15-H15</f>
        <v/>
      </c>
      <c r="J15" s="12" t="n"/>
      <c r="K15" s="15" t="n"/>
      <c r="L15" s="15">
        <f>I15-K15</f>
        <v/>
      </c>
      <c r="M15" s="12" t="n"/>
      <c r="N15" s="15" t="n"/>
      <c r="O15" s="15">
        <f>L15-N15</f>
        <v/>
      </c>
      <c r="P15" s="12" t="n"/>
      <c r="Q15" s="15" t="n">
        <v>3</v>
      </c>
      <c r="R15" s="15">
        <f>O15-Q15</f>
        <v/>
      </c>
      <c r="S15" s="12" t="n"/>
      <c r="T15" s="15" t="n"/>
      <c r="U15" s="15">
        <f>R15-T15</f>
        <v/>
      </c>
      <c r="V15" s="12" t="n"/>
      <c r="W15" s="15" t="n"/>
      <c r="X15" s="15">
        <f>U15-W15</f>
        <v/>
      </c>
      <c r="Y15" s="12" t="n"/>
      <c r="Z15" s="15" t="n"/>
      <c r="AA15" s="15">
        <f>X15-Z15</f>
        <v/>
      </c>
      <c r="AB15" s="12" t="n"/>
      <c r="AC15" s="15" t="n"/>
      <c r="AD15" s="15">
        <f>AA15-AC15</f>
        <v/>
      </c>
      <c r="AE15" s="12" t="n"/>
      <c r="AF15" s="15" t="n"/>
      <c r="AG15" s="15">
        <f>AD15-AF15</f>
        <v/>
      </c>
      <c r="AH15" s="12" t="n"/>
      <c r="AI15" s="15" t="n"/>
      <c r="AJ15" s="15">
        <f>AG15-AI15</f>
        <v/>
      </c>
      <c r="AK15" s="12" t="n"/>
      <c r="AL15" s="15" t="n"/>
      <c r="AM15" s="15">
        <f>AJ15-AL15</f>
        <v/>
      </c>
      <c r="AN15" s="12" t="n"/>
      <c r="AO15" s="15" t="n"/>
      <c r="AP15" s="15">
        <f>AM15-AO15</f>
        <v/>
      </c>
      <c r="AQ15" s="12" t="n"/>
      <c r="AR15" s="15" t="n"/>
      <c r="AS15" s="15">
        <f>AP15-AR15</f>
        <v/>
      </c>
      <c r="AT15" s="12" t="n"/>
      <c r="AU15" s="15" t="n"/>
      <c r="AV15" s="15">
        <f>AS15-AU15</f>
        <v/>
      </c>
      <c r="AW15" s="12" t="n"/>
      <c r="AX15" s="15" t="n"/>
      <c r="AY15" s="15">
        <f>AV15-AX15</f>
        <v/>
      </c>
      <c r="AZ15" s="12" t="n"/>
      <c r="BA15" s="15" t="n"/>
      <c r="BB15" s="15">
        <f>AY15-BA15</f>
        <v/>
      </c>
      <c r="BC15" s="12" t="n"/>
      <c r="BD15" s="15" t="n"/>
      <c r="BE15" s="15">
        <f>BB15-BD15</f>
        <v/>
      </c>
      <c r="BF15" s="12" t="n"/>
      <c r="BG15" s="15" t="n"/>
      <c r="BH15" s="15">
        <f>BE15-BG15</f>
        <v/>
      </c>
      <c r="BI15" s="12" t="n"/>
      <c r="BJ15" s="15" t="n"/>
      <c r="BK15" s="15">
        <f>BH15-BJ15</f>
        <v/>
      </c>
      <c r="BL15" s="12" t="n"/>
      <c r="BM15" s="15" t="n"/>
      <c r="BN15" s="15">
        <f>BK15-BM15</f>
        <v/>
      </c>
      <c r="BO15" s="12" t="n"/>
      <c r="BP15" s="16">
        <f>H15+K15+N15+Q15+T15+W15+Z15+AC15+AF15+AI15+AL15+AO15+AR15+AU15+AX15+BA15+BD15+BG15+BJ15+BM15</f>
        <v/>
      </c>
      <c r="BQ15" s="16">
        <f>G15-BP15</f>
        <v/>
      </c>
    </row>
    <row r="16">
      <c r="A16" s="1" t="n"/>
      <c r="B16" s="20" t="inlineStr">
        <is>
          <t>Total</t>
        </is>
      </c>
      <c r="C16" s="20" t="n"/>
      <c r="D16" s="20" t="n"/>
      <c r="E16" s="20" t="n"/>
      <c r="F16" s="20" t="n"/>
      <c r="G16" s="20">
        <f>SUM(G6:G15)</f>
        <v/>
      </c>
      <c r="H16" s="22">
        <f>SUM(H6:H15)</f>
        <v/>
      </c>
      <c r="I16" s="22">
        <f>SUM(I6:I15)</f>
        <v/>
      </c>
      <c r="J16" s="23" t="n"/>
      <c r="K16" s="22">
        <f>SUM(K6:K15)</f>
        <v/>
      </c>
      <c r="L16" s="22">
        <f>SUM(L6:L15)</f>
        <v/>
      </c>
      <c r="M16" s="23" t="n"/>
      <c r="N16" s="22">
        <f>SUM(N6:N15)</f>
        <v/>
      </c>
      <c r="O16" s="22">
        <f>SUM(O6:O15)</f>
        <v/>
      </c>
      <c r="P16" s="23" t="n"/>
      <c r="Q16" s="22">
        <f>SUM(Q6:Q15)</f>
        <v/>
      </c>
      <c r="R16" s="22">
        <f>SUM(R6:R15)</f>
        <v/>
      </c>
      <c r="S16" s="23" t="n"/>
      <c r="T16" s="22">
        <f>SUM(T6:T15)</f>
        <v/>
      </c>
      <c r="U16" s="22">
        <f>SUM(U6:U15)</f>
        <v/>
      </c>
      <c r="V16" s="23" t="n"/>
      <c r="W16" s="22">
        <f>SUM(W6:W15)</f>
        <v/>
      </c>
      <c r="X16" s="22">
        <f>SUM(X6:X15)</f>
        <v/>
      </c>
      <c r="Y16" s="23" t="n"/>
      <c r="Z16" s="22">
        <f>SUM(Z6:Z15)</f>
        <v/>
      </c>
      <c r="AA16" s="22">
        <f>SUM(AA6:AA15)</f>
        <v/>
      </c>
      <c r="AB16" s="23" t="n"/>
      <c r="AC16" s="22">
        <f>SUM(AC6:AC15)</f>
        <v/>
      </c>
      <c r="AD16" s="22">
        <f>SUM(AD6:AD15)</f>
        <v/>
      </c>
      <c r="AE16" s="23" t="n"/>
      <c r="AF16" s="22">
        <f>SUM(AF6:AF15)</f>
        <v/>
      </c>
      <c r="AG16" s="22">
        <f>SUM(AG6:AG15)</f>
        <v/>
      </c>
      <c r="AH16" s="23" t="n"/>
      <c r="AI16" s="22" t="n"/>
      <c r="AJ16" s="22" t="n"/>
      <c r="AK16" s="23" t="n"/>
      <c r="AL16" s="22" t="n"/>
      <c r="AM16" s="22" t="n"/>
      <c r="AN16" s="23" t="n"/>
      <c r="AO16" s="22" t="n"/>
      <c r="AP16" s="22" t="n"/>
      <c r="AQ16" s="23" t="n"/>
      <c r="AR16" s="22" t="n"/>
      <c r="AS16" s="22" t="n"/>
      <c r="AT16" s="23" t="n"/>
      <c r="AU16" s="22" t="n"/>
      <c r="AV16" s="22" t="n"/>
      <c r="AW16" s="23" t="n"/>
      <c r="AX16" s="22" t="n"/>
      <c r="AY16" s="22" t="n"/>
      <c r="AZ16" s="23" t="n"/>
      <c r="BA16" s="22" t="n"/>
      <c r="BB16" s="22" t="n"/>
      <c r="BC16" s="23" t="n"/>
      <c r="BD16" s="22" t="n"/>
      <c r="BE16" s="22" t="n"/>
      <c r="BF16" s="23" t="n"/>
      <c r="BG16" s="22" t="n"/>
      <c r="BH16" s="22" t="n"/>
      <c r="BI16" s="23" t="n"/>
      <c r="BJ16" s="22" t="n"/>
      <c r="BK16" s="22" t="n"/>
      <c r="BL16" s="23" t="n"/>
      <c r="BM16" s="22" t="n"/>
      <c r="BN16" s="22" t="n"/>
      <c r="BO16" s="23" t="n"/>
      <c r="BP16" s="24">
        <f>SUM(BP6:BP15)</f>
        <v/>
      </c>
      <c r="BQ16" s="24">
        <f>SUM(BQ6:BQ15)</f>
        <v/>
      </c>
    </row>
    <row r="17">
      <c r="A17" s="1" t="n"/>
      <c r="B17" s="13" t="n"/>
      <c r="C17" s="13" t="n"/>
      <c r="D17" s="13" t="n"/>
      <c r="E17" s="13" t="n"/>
      <c r="F17" s="13" t="n"/>
      <c r="G17" s="13" t="n"/>
      <c r="H17" s="15" t="n"/>
      <c r="I17" s="15" t="n"/>
      <c r="J17" s="12" t="n"/>
      <c r="K17" s="15" t="n"/>
      <c r="L17" s="15" t="n"/>
      <c r="M17" s="12" t="n"/>
      <c r="N17" s="15" t="n"/>
      <c r="O17" s="15" t="n"/>
      <c r="P17" s="12" t="n"/>
      <c r="Q17" s="15" t="n"/>
      <c r="R17" s="15" t="n"/>
      <c r="S17" s="12" t="n"/>
      <c r="T17" s="15" t="n"/>
      <c r="U17" s="15" t="n"/>
      <c r="V17" s="12" t="n"/>
      <c r="W17" s="15" t="n"/>
      <c r="X17" s="15" t="n"/>
      <c r="Y17" s="12" t="n"/>
      <c r="Z17" s="15" t="n"/>
      <c r="AA17" s="15" t="n"/>
      <c r="AB17" s="12" t="n"/>
      <c r="AC17" s="15" t="n"/>
      <c r="AD17" s="15" t="n"/>
      <c r="AE17" s="12" t="n"/>
      <c r="AF17" s="15" t="n"/>
      <c r="AG17" s="15" t="n"/>
      <c r="AH17" s="12" t="n"/>
      <c r="AI17" s="15" t="n"/>
      <c r="AJ17" s="15" t="n"/>
      <c r="AK17" s="12" t="n"/>
      <c r="AL17" s="15" t="n"/>
      <c r="AM17" s="15" t="n"/>
      <c r="AN17" s="12" t="n"/>
      <c r="AO17" s="15" t="n"/>
      <c r="AP17" s="15" t="n"/>
      <c r="AQ17" s="12" t="n"/>
      <c r="AR17" s="15" t="n"/>
      <c r="AS17" s="15" t="n"/>
      <c r="AT17" s="12" t="n"/>
      <c r="AU17" s="15" t="n"/>
      <c r="AV17" s="15" t="n"/>
      <c r="AW17" s="12" t="n"/>
      <c r="AX17" s="15" t="n"/>
      <c r="AY17" s="15" t="n"/>
      <c r="AZ17" s="12" t="n"/>
      <c r="BA17" s="15" t="n"/>
      <c r="BB17" s="15" t="n"/>
      <c r="BC17" s="12" t="n"/>
      <c r="BD17" s="15" t="n"/>
      <c r="BE17" s="15" t="n"/>
      <c r="BF17" s="12" t="n"/>
      <c r="BG17" s="15" t="n"/>
      <c r="BH17" s="15" t="n"/>
      <c r="BI17" s="12" t="n"/>
      <c r="BJ17" s="15" t="n"/>
      <c r="BK17" s="15" t="n"/>
      <c r="BL17" s="12" t="n"/>
      <c r="BM17" s="15" t="n"/>
      <c r="BN17" s="15" t="n"/>
      <c r="BO17" s="12" t="n"/>
      <c r="BP17" s="16" t="n"/>
      <c r="BQ17" s="16" t="n"/>
    </row>
    <row r="18">
      <c r="A18" s="1" t="n"/>
      <c r="B18" s="25" t="inlineStr">
        <is>
          <t>Nota: Sprint en curso: avance registrado hasta el 09/10/2026, igual que plantilla_burndown.xlsx (hoja Sprint 2). Todas las tareas quedaron terminadas; la validación del Product Owner se realiza en la Sprint Review del 19/10/2026.</t>
        </is>
      </c>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c r="BH18" s="1" t="n"/>
      <c r="BI18" s="1" t="n"/>
      <c r="BJ18" s="1" t="n"/>
      <c r="BK18" s="1" t="n"/>
      <c r="BL18" s="1" t="n"/>
      <c r="BM18" s="1" t="n"/>
      <c r="BN18" s="1" t="n"/>
      <c r="BO18" s="1" t="n"/>
      <c r="BP18" s="1" t="n"/>
      <c r="BQ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c r="BH19" s="1" t="n"/>
      <c r="BI19" s="1" t="n"/>
      <c r="BJ19" s="1" t="n"/>
      <c r="BK19" s="1" t="n"/>
      <c r="BL19" s="1" t="n"/>
      <c r="BM19" s="1" t="n"/>
      <c r="BN19" s="1" t="n"/>
      <c r="BO19" s="1" t="n"/>
      <c r="BP19" s="1" t="n"/>
      <c r="BQ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c r="BH20" s="1" t="n"/>
      <c r="BI20" s="1" t="n"/>
      <c r="BJ20" s="1" t="n"/>
      <c r="BK20" s="1" t="n"/>
      <c r="BL20" s="1" t="n"/>
      <c r="BM20" s="1" t="n"/>
      <c r="BN20" s="1" t="n"/>
      <c r="BO20" s="1" t="n"/>
      <c r="BP20" s="1" t="n"/>
      <c r="BQ20" s="1" t="n"/>
    </row>
    <row r="21" ht="15.75" customHeight="1" s="1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row>
    <row r="22" ht="15.75" customHeight="1" s="1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row>
    <row r="23" ht="15.75" customHeight="1" s="1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row>
    <row r="24" ht="15.75" customHeight="1" s="1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21">
    <mergeCell ref="W4:X4"/>
    <mergeCell ref="AX4:AY4"/>
    <mergeCell ref="BJ4:BK4"/>
    <mergeCell ref="H4:I4"/>
    <mergeCell ref="AU4:AV4"/>
    <mergeCell ref="T4:U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BQ1000"/>
  <sheetViews>
    <sheetView tabSelected="0" workbookViewId="0">
      <selection activeCell="A1" sqref="A1"/>
    </sheetView>
  </sheetViews>
  <sheetFormatPr baseColWidth="8" defaultColWidth="12.63" defaultRowHeight="15" customHeight="1"/>
  <cols>
    <col width="1.25" customWidth="1" style="18" min="1" max="1"/>
    <col width="14.38" customWidth="1" style="18" min="2" max="2"/>
    <col width="29.75" customWidth="1" style="18" min="3" max="3"/>
    <col width="18.25"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 width="2.38" customWidth="1" style="18" min="25" max="25"/>
    <col width="5.13" customWidth="1" style="18" min="26" max="26"/>
    <col width="4.75" customWidth="1" style="18" min="27" max="27"/>
    <col width="2.38" customWidth="1" style="18" min="28" max="28"/>
    <col width="5.13" customWidth="1" style="18" min="29" max="29"/>
    <col width="4.75" customWidth="1" style="18" min="30" max="30"/>
    <col width="2.38" customWidth="1" style="18" min="31" max="31"/>
    <col width="5.13" customWidth="1" style="18" min="32" max="32"/>
    <col width="4.75" customWidth="1" style="18" min="33" max="33"/>
    <col width="2.38" customWidth="1" style="18" min="34" max="34"/>
    <col width="5.13" customWidth="1" style="18" min="35" max="35"/>
    <col width="4.75" customWidth="1" style="18" min="36" max="36"/>
    <col width="2.38" customWidth="1" style="18" min="37" max="37"/>
    <col width="5.13" customWidth="1" style="18" min="38" max="38"/>
    <col width="4.75" customWidth="1" style="18" min="39" max="39"/>
    <col width="2.38" customWidth="1" style="18" min="40" max="40"/>
    <col width="5.13" customWidth="1" style="18" min="41" max="41"/>
    <col width="4.75" customWidth="1" style="18" min="42" max="42"/>
    <col width="2.38" customWidth="1" style="18" min="43" max="43"/>
    <col width="5.13" customWidth="1" style="18" min="44" max="44"/>
    <col width="4.75" customWidth="1" style="18" min="45" max="45"/>
    <col width="2.38" customWidth="1" style="18" min="46" max="46"/>
    <col width="5.13" customWidth="1" style="18" min="47" max="47"/>
    <col width="4.75" customWidth="1" style="18" min="48" max="48"/>
    <col width="2.38" customWidth="1" style="18" min="49" max="49"/>
    <col width="5.13" customWidth="1" style="18" min="50" max="50"/>
    <col width="4.75" customWidth="1" style="18" min="51" max="51"/>
    <col width="2.38" customWidth="1" style="18" min="52" max="52"/>
    <col width="5.13" customWidth="1" style="18" min="53" max="53"/>
    <col width="4.75" customWidth="1" style="18" min="54" max="54"/>
    <col width="2.38" customWidth="1" style="18" min="55" max="55"/>
    <col width="5.13" customWidth="1" style="18" min="56" max="56"/>
    <col width="4.75" customWidth="1" style="18" min="57" max="57"/>
    <col width="2.38" customWidth="1" style="18" min="58" max="58"/>
    <col width="5.13" customWidth="1" style="18" min="59" max="59"/>
    <col width="4.75" customWidth="1" style="18" min="60" max="60"/>
    <col width="2.38" customWidth="1" style="18" min="61" max="61"/>
    <col width="5.13" customWidth="1" style="18" min="62" max="62"/>
    <col width="4.75" customWidth="1" style="18" min="63" max="63"/>
    <col width="2.38" customWidth="1" style="18" min="64" max="64"/>
    <col width="5.13" customWidth="1" style="18" min="65" max="65"/>
    <col width="4.75" customWidth="1" style="18" min="66" max="66"/>
    <col width="2.38" customWidth="1" style="18" min="67" max="67"/>
    <col width="5.13" customWidth="1" style="18" min="68" max="68"/>
    <col width="4.75" customWidth="1" style="18"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 – FireFleet – Sprint 3: 20/10/2026 al 02/11/2026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c r="A4" s="1" t="n"/>
      <c r="B4" s="1" t="n"/>
      <c r="C4" s="1" t="n"/>
      <c r="D4" s="1" t="n"/>
      <c r="E4" s="1" t="n"/>
      <c r="F4" s="1" t="n"/>
      <c r="G4" s="1" t="n"/>
      <c r="H4" s="9" t="inlineStr">
        <is>
          <t>Día 1 (20/10)</t>
        </is>
      </c>
      <c r="I4" s="19" t="n"/>
      <c r="J4" s="8" t="n"/>
      <c r="K4" s="9" t="inlineStr">
        <is>
          <t>Día 2 (21/10)</t>
        </is>
      </c>
      <c r="L4" s="19" t="n"/>
      <c r="M4" s="8" t="n"/>
      <c r="N4" s="9" t="inlineStr">
        <is>
          <t>Día 3 (22/10)</t>
        </is>
      </c>
      <c r="O4" s="19" t="n"/>
      <c r="P4" s="8" t="n"/>
      <c r="Q4" s="9" t="inlineStr">
        <is>
          <t>Día 4 (23/10)</t>
        </is>
      </c>
      <c r="R4" s="19" t="n"/>
      <c r="S4" s="8" t="n"/>
      <c r="T4" s="9" t="inlineStr">
        <is>
          <t>Día 5 (26/10)</t>
        </is>
      </c>
      <c r="U4" s="19" t="n"/>
      <c r="V4" s="8" t="n"/>
      <c r="W4" s="9" t="inlineStr">
        <is>
          <t>Día 6 (27/10)</t>
        </is>
      </c>
      <c r="X4" s="19" t="n"/>
      <c r="Y4" s="8" t="n"/>
      <c r="Z4" s="9" t="inlineStr">
        <is>
          <t>Día 7 (28/10)</t>
        </is>
      </c>
      <c r="AA4" s="19" t="n"/>
      <c r="AB4" s="8" t="n"/>
      <c r="AC4" s="9" t="inlineStr">
        <is>
          <t>Día 8 (29/10)</t>
        </is>
      </c>
      <c r="AD4" s="19" t="n"/>
      <c r="AE4" s="8" t="n"/>
      <c r="AF4" s="9" t="inlineStr">
        <is>
          <t>Día 9 (30/10)</t>
        </is>
      </c>
      <c r="AG4" s="19" t="n"/>
      <c r="AH4" s="8" t="n"/>
      <c r="AI4" s="9" t="inlineStr">
        <is>
          <t>Día 10 (02/11)</t>
        </is>
      </c>
      <c r="AJ4" s="19" t="n"/>
      <c r="AK4" s="8" t="n"/>
      <c r="AL4" s="9" t="n"/>
      <c r="AM4" s="19" t="n"/>
      <c r="AN4" s="8" t="n"/>
      <c r="AO4" s="9" t="n"/>
      <c r="AP4" s="19" t="n"/>
      <c r="AQ4" s="8" t="n"/>
      <c r="AR4" s="9" t="n"/>
      <c r="AS4" s="19" t="n"/>
      <c r="AT4" s="8" t="n"/>
      <c r="AU4" s="9" t="n"/>
      <c r="AV4" s="19" t="n"/>
      <c r="AW4" s="8" t="n"/>
      <c r="AX4" s="9" t="n"/>
      <c r="AY4" s="19" t="n"/>
      <c r="AZ4" s="8" t="n"/>
      <c r="BA4" s="9" t="n"/>
      <c r="BB4" s="19" t="n"/>
      <c r="BC4" s="8" t="n"/>
      <c r="BD4" s="9" t="n"/>
      <c r="BE4" s="19" t="n"/>
      <c r="BF4" s="8" t="n"/>
      <c r="BG4" s="9" t="n"/>
      <c r="BH4" s="19" t="n"/>
      <c r="BI4" s="8" t="n"/>
      <c r="BJ4" s="9" t="n"/>
      <c r="BK4" s="19" t="n"/>
      <c r="BL4" s="8" t="n"/>
      <c r="BM4" s="9" t="n"/>
      <c r="BN4" s="19" t="n"/>
      <c r="BO4" s="8" t="n"/>
      <c r="BP4" s="9" t="inlineStr">
        <is>
          <t>Total</t>
        </is>
      </c>
      <c r="BQ4" s="19" t="n"/>
    </row>
    <row r="5">
      <c r="A5" s="1" t="n"/>
      <c r="B5" s="9" t="inlineStr">
        <is>
          <t>Identificador (ID) de item de product backlog</t>
        </is>
      </c>
      <c r="C5" s="9" t="inlineStr">
        <is>
          <t>Enunciado del item de Product Backlog</t>
        </is>
      </c>
      <c r="D5" s="9" t="inlineStr">
        <is>
          <t>Tarea</t>
        </is>
      </c>
      <c r="E5" s="9" t="inlineStr">
        <is>
          <t>Dueño / Voluntario</t>
        </is>
      </c>
      <c r="F5" s="9" t="inlineStr">
        <is>
          <t>Estatus</t>
        </is>
      </c>
      <c r="G5" s="9" t="inlineStr">
        <is>
          <t>Horas estimadas totales</t>
        </is>
      </c>
      <c r="H5" s="10" t="inlineStr">
        <is>
          <t>Cons.</t>
        </is>
      </c>
      <c r="I5" s="10" t="inlineStr">
        <is>
          <t>Rest.</t>
        </is>
      </c>
      <c r="J5" s="10" t="n"/>
      <c r="K5" s="10" t="inlineStr">
        <is>
          <t>Cons.</t>
        </is>
      </c>
      <c r="L5" s="10" t="inlineStr">
        <is>
          <t>Rest.</t>
        </is>
      </c>
      <c r="M5" s="10" t="n"/>
      <c r="N5" s="10" t="inlineStr">
        <is>
          <t>Cons.</t>
        </is>
      </c>
      <c r="O5" s="10" t="inlineStr">
        <is>
          <t>Rest.</t>
        </is>
      </c>
      <c r="P5" s="10" t="n"/>
      <c r="Q5" s="10" t="inlineStr">
        <is>
          <t>Cons.</t>
        </is>
      </c>
      <c r="R5" s="10" t="inlineStr">
        <is>
          <t>Rest.</t>
        </is>
      </c>
      <c r="S5" s="10" t="n"/>
      <c r="T5" s="10" t="inlineStr">
        <is>
          <t>Cons.</t>
        </is>
      </c>
      <c r="U5" s="10" t="inlineStr">
        <is>
          <t>Rest.</t>
        </is>
      </c>
      <c r="V5" s="10" t="n"/>
      <c r="W5" s="10" t="inlineStr">
        <is>
          <t>Cons.</t>
        </is>
      </c>
      <c r="X5" s="10" t="inlineStr">
        <is>
          <t>Rest.</t>
        </is>
      </c>
      <c r="Y5" s="10" t="n"/>
      <c r="Z5" s="10" t="inlineStr">
        <is>
          <t>Cons.</t>
        </is>
      </c>
      <c r="AA5" s="10" t="inlineStr">
        <is>
          <t>Rest.</t>
        </is>
      </c>
      <c r="AB5" s="10" t="n"/>
      <c r="AC5" s="10" t="inlineStr">
        <is>
          <t>Cons.</t>
        </is>
      </c>
      <c r="AD5" s="10" t="inlineStr">
        <is>
          <t>Rest.</t>
        </is>
      </c>
      <c r="AE5" s="10" t="n"/>
      <c r="AF5" s="10" t="inlineStr">
        <is>
          <t>Cons.</t>
        </is>
      </c>
      <c r="AG5" s="10" t="inlineStr">
        <is>
          <t>Rest.</t>
        </is>
      </c>
      <c r="AH5" s="10" t="n"/>
      <c r="AI5" s="10" t="inlineStr">
        <is>
          <t>Cons.</t>
        </is>
      </c>
      <c r="AJ5" s="10" t="inlineStr">
        <is>
          <t>Rest.</t>
        </is>
      </c>
      <c r="AK5" s="10" t="n"/>
      <c r="AL5" s="10" t="inlineStr">
        <is>
          <t>Cons.</t>
        </is>
      </c>
      <c r="AM5" s="10" t="inlineStr">
        <is>
          <t>Rest.</t>
        </is>
      </c>
      <c r="AN5" s="10" t="n"/>
      <c r="AO5" s="10" t="inlineStr">
        <is>
          <t>Cons.</t>
        </is>
      </c>
      <c r="AP5" s="10" t="inlineStr">
        <is>
          <t>Rest.</t>
        </is>
      </c>
      <c r="AQ5" s="10" t="n"/>
      <c r="AR5" s="10" t="inlineStr">
        <is>
          <t>Cons.</t>
        </is>
      </c>
      <c r="AS5" s="10" t="inlineStr">
        <is>
          <t>Rest.</t>
        </is>
      </c>
      <c r="AT5" s="10" t="n"/>
      <c r="AU5" s="10" t="inlineStr">
        <is>
          <t>Cons.</t>
        </is>
      </c>
      <c r="AV5" s="10" t="inlineStr">
        <is>
          <t>Rest.</t>
        </is>
      </c>
      <c r="AW5" s="10" t="n"/>
      <c r="AX5" s="10" t="inlineStr">
        <is>
          <t>Cons.</t>
        </is>
      </c>
      <c r="AY5" s="10" t="inlineStr">
        <is>
          <t>Rest.</t>
        </is>
      </c>
      <c r="AZ5" s="10" t="n"/>
      <c r="BA5" s="10" t="inlineStr">
        <is>
          <t>Cons.</t>
        </is>
      </c>
      <c r="BB5" s="10" t="inlineStr">
        <is>
          <t>Rest.</t>
        </is>
      </c>
      <c r="BC5" s="10" t="n"/>
      <c r="BD5" s="10" t="inlineStr">
        <is>
          <t>Cons.</t>
        </is>
      </c>
      <c r="BE5" s="10" t="inlineStr">
        <is>
          <t>Rest.</t>
        </is>
      </c>
      <c r="BF5" s="10" t="n"/>
      <c r="BG5" s="10" t="inlineStr">
        <is>
          <t>Cons.</t>
        </is>
      </c>
      <c r="BH5" s="10" t="inlineStr">
        <is>
          <t>Rest.</t>
        </is>
      </c>
      <c r="BI5" s="10" t="n"/>
      <c r="BJ5" s="10" t="inlineStr">
        <is>
          <t>Cons.</t>
        </is>
      </c>
      <c r="BK5" s="10" t="inlineStr">
        <is>
          <t>Rest.</t>
        </is>
      </c>
      <c r="BL5" s="10" t="n"/>
      <c r="BM5" s="10" t="inlineStr">
        <is>
          <t>Cons.</t>
        </is>
      </c>
      <c r="BN5" s="10" t="inlineStr">
        <is>
          <t>Rest.</t>
        </is>
      </c>
      <c r="BO5" s="10" t="n"/>
      <c r="BP5" s="10" t="inlineStr">
        <is>
          <t>Cons.</t>
        </is>
      </c>
      <c r="BQ5" s="10" t="inlineStr">
        <is>
          <t>Rest.</t>
        </is>
      </c>
    </row>
    <row r="6">
      <c r="A6" s="1" t="n"/>
      <c r="B6" s="13" t="inlineStr">
        <is>
          <t>HU-04</t>
        </is>
      </c>
      <c r="C6" s="13" t="inlineStr">
        <is>
          <t>Como un Bombero Encargado de Flota, necesito editar la disponibilidad de cada carro, con la finalidad de saber rápidamente qué carros están aptos para salir a terreno.</t>
        </is>
      </c>
      <c r="D6" s="13" t="inlineStr">
        <is>
          <t>T22 Implementar el cambio de disponibilidad del vehículo (botón «Cambiar»)</t>
        </is>
      </c>
      <c r="E6" s="13" t="inlineStr">
        <is>
          <t>Equipo Scrum</t>
        </is>
      </c>
      <c r="F6" s="13" t="inlineStr">
        <is>
          <t>Por iniciar</t>
        </is>
      </c>
      <c r="G6" s="13" t="n">
        <v>1</v>
      </c>
      <c r="H6" s="15" t="n"/>
      <c r="I6" s="15">
        <f>G6-H6</f>
        <v/>
      </c>
      <c r="J6" s="12" t="n"/>
      <c r="K6" s="15" t="n"/>
      <c r="L6" s="15">
        <f>I6-K6</f>
        <v/>
      </c>
      <c r="M6" s="12" t="n"/>
      <c r="N6" s="15" t="n"/>
      <c r="O6" s="15">
        <f>L6-N6</f>
        <v/>
      </c>
      <c r="P6" s="12" t="n"/>
      <c r="Q6" s="15" t="n"/>
      <c r="R6" s="15">
        <f>O6-Q6</f>
        <v/>
      </c>
      <c r="S6" s="12" t="n"/>
      <c r="T6" s="15" t="n"/>
      <c r="U6" s="15">
        <f>R6-T6</f>
        <v/>
      </c>
      <c r="V6" s="12" t="n"/>
      <c r="W6" s="15" t="n"/>
      <c r="X6" s="15">
        <f>U6-W6</f>
        <v/>
      </c>
      <c r="Y6" s="12" t="n"/>
      <c r="Z6" s="15" t="n"/>
      <c r="AA6" s="15">
        <f>X6-Z6</f>
        <v/>
      </c>
      <c r="AB6" s="12" t="n"/>
      <c r="AC6" s="15" t="n"/>
      <c r="AD6" s="15">
        <f>AA6-AC6</f>
        <v/>
      </c>
      <c r="AE6" s="12" t="n"/>
      <c r="AF6" s="15" t="n"/>
      <c r="AG6" s="15">
        <f>AD6-AF6</f>
        <v/>
      </c>
      <c r="AH6" s="12" t="n"/>
      <c r="AI6" s="15" t="n"/>
      <c r="AJ6" s="15">
        <f>AG6-AI6</f>
        <v/>
      </c>
      <c r="AK6" s="12" t="n"/>
      <c r="AL6" s="15" t="n"/>
      <c r="AM6" s="15">
        <f>AJ6-AL6</f>
        <v/>
      </c>
      <c r="AN6" s="12" t="n"/>
      <c r="AO6" s="15" t="n"/>
      <c r="AP6" s="15">
        <f>AM6-AO6</f>
        <v/>
      </c>
      <c r="AQ6" s="12" t="n"/>
      <c r="AR6" s="15" t="n"/>
      <c r="AS6" s="15">
        <f>AP6-AR6</f>
        <v/>
      </c>
      <c r="AT6" s="12" t="n"/>
      <c r="AU6" s="15" t="n"/>
      <c r="AV6" s="15">
        <f>AS6-AU6</f>
        <v/>
      </c>
      <c r="AW6" s="12" t="n"/>
      <c r="AX6" s="15" t="n"/>
      <c r="AY6" s="15">
        <f>AV6-AX6</f>
        <v/>
      </c>
      <c r="AZ6" s="12" t="n"/>
      <c r="BA6" s="15" t="n"/>
      <c r="BB6" s="15">
        <f>AY6-BA6</f>
        <v/>
      </c>
      <c r="BC6" s="12" t="n"/>
      <c r="BD6" s="15" t="n"/>
      <c r="BE6" s="15">
        <f>BB6-BD6</f>
        <v/>
      </c>
      <c r="BF6" s="12" t="n"/>
      <c r="BG6" s="15" t="n"/>
      <c r="BH6" s="15">
        <f>BE6-BG6</f>
        <v/>
      </c>
      <c r="BI6" s="12" t="n"/>
      <c r="BJ6" s="15" t="n"/>
      <c r="BK6" s="15">
        <f>BH6-BJ6</f>
        <v/>
      </c>
      <c r="BL6" s="12" t="n"/>
      <c r="BM6" s="15" t="n"/>
      <c r="BN6" s="15">
        <f>BK6-BM6</f>
        <v/>
      </c>
      <c r="BO6" s="12" t="n"/>
      <c r="BP6" s="16">
        <f>H6+K6+N6+Q6+T6+W6+Z6+AC6+AF6+AI6+AL6+AO6+AR6+AU6+AX6+BA6+BD6+BG6+BJ6+BM6</f>
        <v/>
      </c>
      <c r="BQ6" s="16">
        <f>G6-BP6</f>
        <v/>
      </c>
    </row>
    <row r="7">
      <c r="A7" s="1" t="n"/>
      <c r="B7" s="13" t="inlineStr">
        <is>
          <t>HU-08</t>
        </is>
      </c>
      <c r="C7" s="13" t="inlineStr">
        <is>
          <t>Como un Bombero en terreno, necesito consultar desde la app móvil el estado de los vehículos, con la finalidad de saber qué carro está apto antes de salir a una emergencia.</t>
        </is>
      </c>
      <c r="D7" s="13" t="inlineStr">
        <is>
          <t>T23 Completar la pantalla de inicio de sesión de la app</t>
        </is>
      </c>
      <c r="E7" s="13" t="inlineStr">
        <is>
          <t>Equipo Scrum</t>
        </is>
      </c>
      <c r="F7" s="13" t="inlineStr">
        <is>
          <t>Por iniciar</t>
        </is>
      </c>
      <c r="G7" s="13" t="n">
        <v>2</v>
      </c>
      <c r="H7" s="15" t="n"/>
      <c r="I7" s="15">
        <f>G7-H7</f>
        <v/>
      </c>
      <c r="J7" s="12" t="n"/>
      <c r="K7" s="15" t="n"/>
      <c r="L7" s="15">
        <f>I7-K7</f>
        <v/>
      </c>
      <c r="M7" s="12" t="n"/>
      <c r="N7" s="15" t="n"/>
      <c r="O7" s="15">
        <f>L7-N7</f>
        <v/>
      </c>
      <c r="P7" s="12" t="n"/>
      <c r="Q7" s="15" t="n"/>
      <c r="R7" s="15">
        <f>O7-Q7</f>
        <v/>
      </c>
      <c r="S7" s="12" t="n"/>
      <c r="T7" s="15" t="n"/>
      <c r="U7" s="15">
        <f>R7-T7</f>
        <v/>
      </c>
      <c r="V7" s="12" t="n"/>
      <c r="W7" s="15" t="n"/>
      <c r="X7" s="15">
        <f>U7-W7</f>
        <v/>
      </c>
      <c r="Y7" s="12" t="n"/>
      <c r="Z7" s="15" t="n"/>
      <c r="AA7" s="15">
        <f>X7-Z7</f>
        <v/>
      </c>
      <c r="AB7" s="12" t="n"/>
      <c r="AC7" s="15" t="n"/>
      <c r="AD7" s="15">
        <f>AA7-AC7</f>
        <v/>
      </c>
      <c r="AE7" s="12" t="n"/>
      <c r="AF7" s="15" t="n"/>
      <c r="AG7" s="15">
        <f>AD7-AF7</f>
        <v/>
      </c>
      <c r="AH7" s="12" t="n"/>
      <c r="AI7" s="15" t="n"/>
      <c r="AJ7" s="15">
        <f>AG7-AI7</f>
        <v/>
      </c>
      <c r="AK7" s="12" t="n"/>
      <c r="AL7" s="15" t="n"/>
      <c r="AM7" s="15">
        <f>AJ7-AL7</f>
        <v/>
      </c>
      <c r="AN7" s="12" t="n"/>
      <c r="AO7" s="15" t="n"/>
      <c r="AP7" s="15">
        <f>AM7-AO7</f>
        <v/>
      </c>
      <c r="AQ7" s="12" t="n"/>
      <c r="AR7" s="15" t="n"/>
      <c r="AS7" s="15">
        <f>AP7-AR7</f>
        <v/>
      </c>
      <c r="AT7" s="12" t="n"/>
      <c r="AU7" s="15" t="n"/>
      <c r="AV7" s="15">
        <f>AS7-AU7</f>
        <v/>
      </c>
      <c r="AW7" s="12" t="n"/>
      <c r="AX7" s="15" t="n"/>
      <c r="AY7" s="15">
        <f>AV7-AX7</f>
        <v/>
      </c>
      <c r="AZ7" s="12" t="n"/>
      <c r="BA7" s="15" t="n"/>
      <c r="BB7" s="15">
        <f>AY7-BA7</f>
        <v/>
      </c>
      <c r="BC7" s="12" t="n"/>
      <c r="BD7" s="15" t="n"/>
      <c r="BE7" s="15">
        <f>BB7-BD7</f>
        <v/>
      </c>
      <c r="BF7" s="12" t="n"/>
      <c r="BG7" s="15" t="n"/>
      <c r="BH7" s="15">
        <f>BE7-BG7</f>
        <v/>
      </c>
      <c r="BI7" s="12" t="n"/>
      <c r="BJ7" s="15" t="n"/>
      <c r="BK7" s="15">
        <f>BH7-BJ7</f>
        <v/>
      </c>
      <c r="BL7" s="12" t="n"/>
      <c r="BM7" s="15" t="n"/>
      <c r="BN7" s="15">
        <f>BK7-BM7</f>
        <v/>
      </c>
      <c r="BO7" s="12" t="n"/>
      <c r="BP7" s="16">
        <f>H7+K7+N7+Q7+T7+W7+Z7+AC7+AF7+AI7+AL7+AO7+AR7+AU7+AX7+BA7+BD7+BG7+BJ7+BM7</f>
        <v/>
      </c>
      <c r="BQ7" s="16">
        <f>G7-BP7</f>
        <v/>
      </c>
    </row>
    <row r="8">
      <c r="A8" s="1" t="n"/>
      <c r="B8" s="13" t="inlineStr">
        <is>
          <t>HU-08</t>
        </is>
      </c>
      <c r="C8" s="13" t="inlineStr">
        <is>
          <t>Como un Bombero en terreno, necesito consultar desde la app móvil el estado de los vehículos, con la finalidad de saber qué carro está apto antes de salir a una emergencia.</t>
        </is>
      </c>
      <c r="D8" s="13" t="inlineStr">
        <is>
          <t>T24 Listar la flota con su estado en la app</t>
        </is>
      </c>
      <c r="E8" s="13" t="inlineStr">
        <is>
          <t>Equipo Scrum</t>
        </is>
      </c>
      <c r="F8" s="13" t="inlineStr">
        <is>
          <t>Por iniciar</t>
        </is>
      </c>
      <c r="G8" s="13" t="n">
        <v>3</v>
      </c>
      <c r="H8" s="15" t="n"/>
      <c r="I8" s="15">
        <f>G8-H8</f>
        <v/>
      </c>
      <c r="J8" s="12" t="n"/>
      <c r="K8" s="15" t="n"/>
      <c r="L8" s="15">
        <f>I8-K8</f>
        <v/>
      </c>
      <c r="M8" s="12" t="n"/>
      <c r="N8" s="15" t="n"/>
      <c r="O8" s="15">
        <f>L8-N8</f>
        <v/>
      </c>
      <c r="P8" s="12" t="n"/>
      <c r="Q8" s="15" t="n"/>
      <c r="R8" s="15">
        <f>O8-Q8</f>
        <v/>
      </c>
      <c r="S8" s="12" t="n"/>
      <c r="T8" s="15" t="n"/>
      <c r="U8" s="15">
        <f>R8-T8</f>
        <v/>
      </c>
      <c r="V8" s="12" t="n"/>
      <c r="W8" s="15" t="n"/>
      <c r="X8" s="15">
        <f>U8-W8</f>
        <v/>
      </c>
      <c r="Y8" s="12" t="n"/>
      <c r="Z8" s="15" t="n"/>
      <c r="AA8" s="15">
        <f>X8-Z8</f>
        <v/>
      </c>
      <c r="AB8" s="12" t="n"/>
      <c r="AC8" s="15" t="n"/>
      <c r="AD8" s="15">
        <f>AA8-AC8</f>
        <v/>
      </c>
      <c r="AE8" s="12" t="n"/>
      <c r="AF8" s="15" t="n"/>
      <c r="AG8" s="15">
        <f>AD8-AF8</f>
        <v/>
      </c>
      <c r="AH8" s="12" t="n"/>
      <c r="AI8" s="15" t="n"/>
      <c r="AJ8" s="15">
        <f>AG8-AI8</f>
        <v/>
      </c>
      <c r="AK8" s="12" t="n"/>
      <c r="AL8" s="15" t="n"/>
      <c r="AM8" s="15">
        <f>AJ8-AL8</f>
        <v/>
      </c>
      <c r="AN8" s="12" t="n"/>
      <c r="AO8" s="15" t="n"/>
      <c r="AP8" s="15">
        <f>AM8-AO8</f>
        <v/>
      </c>
      <c r="AQ8" s="12" t="n"/>
      <c r="AR8" s="15" t="n"/>
      <c r="AS8" s="15">
        <f>AP8-AR8</f>
        <v/>
      </c>
      <c r="AT8" s="12" t="n"/>
      <c r="AU8" s="15" t="n"/>
      <c r="AV8" s="15">
        <f>AS8-AU8</f>
        <v/>
      </c>
      <c r="AW8" s="12" t="n"/>
      <c r="AX8" s="15" t="n"/>
      <c r="AY8" s="15">
        <f>AV8-AX8</f>
        <v/>
      </c>
      <c r="AZ8" s="12" t="n"/>
      <c r="BA8" s="15" t="n"/>
      <c r="BB8" s="15">
        <f>AY8-BA8</f>
        <v/>
      </c>
      <c r="BC8" s="12" t="n"/>
      <c r="BD8" s="15" t="n"/>
      <c r="BE8" s="15">
        <f>BB8-BD8</f>
        <v/>
      </c>
      <c r="BF8" s="12" t="n"/>
      <c r="BG8" s="15" t="n"/>
      <c r="BH8" s="15">
        <f>BE8-BG8</f>
        <v/>
      </c>
      <c r="BI8" s="12" t="n"/>
      <c r="BJ8" s="15" t="n"/>
      <c r="BK8" s="15">
        <f>BH8-BJ8</f>
        <v/>
      </c>
      <c r="BL8" s="12" t="n"/>
      <c r="BM8" s="15" t="n"/>
      <c r="BN8" s="15">
        <f>BK8-BM8</f>
        <v/>
      </c>
      <c r="BO8" s="12" t="n"/>
      <c r="BP8" s="16">
        <f>H8+K8+N8+Q8+T8+W8+Z8+AC8+AF8+AI8+AL8+AO8+AR8+AU8+AX8+BA8+BD8+BG8+BJ8+BM8</f>
        <v/>
      </c>
      <c r="BQ8" s="16">
        <f>G8-BP8</f>
        <v/>
      </c>
    </row>
    <row r="9">
      <c r="A9" s="1" t="n"/>
      <c r="B9" s="13" t="inlineStr">
        <is>
          <t>HU-08</t>
        </is>
      </c>
      <c r="C9" s="13" t="inlineStr">
        <is>
          <t>Como un Bombero en terreno, necesito consultar desde la app móvil el estado de los vehículos, con la finalidad de saber qué carro está apto antes de salir a una emergencia.</t>
        </is>
      </c>
      <c r="D9" s="13" t="inlineStr">
        <is>
          <t>T25 Mostrar el detalle del vehículo y sus alertas en la app</t>
        </is>
      </c>
      <c r="E9" s="13" t="inlineStr">
        <is>
          <t>Equipo Scrum</t>
        </is>
      </c>
      <c r="F9" s="13" t="inlineStr">
        <is>
          <t>Por iniciar</t>
        </is>
      </c>
      <c r="G9" s="13" t="n">
        <v>3</v>
      </c>
      <c r="H9" s="15" t="n"/>
      <c r="I9" s="15">
        <f>G9-H9</f>
        <v/>
      </c>
      <c r="J9" s="12" t="n"/>
      <c r="K9" s="15" t="n"/>
      <c r="L9" s="15">
        <f>I9-K9</f>
        <v/>
      </c>
      <c r="M9" s="12" t="n"/>
      <c r="N9" s="15" t="n"/>
      <c r="O9" s="15">
        <f>L9-N9</f>
        <v/>
      </c>
      <c r="P9" s="12" t="n"/>
      <c r="Q9" s="15" t="n"/>
      <c r="R9" s="15">
        <f>O9-Q9</f>
        <v/>
      </c>
      <c r="S9" s="12" t="n"/>
      <c r="T9" s="15" t="n"/>
      <c r="U9" s="15">
        <f>R9-T9</f>
        <v/>
      </c>
      <c r="V9" s="12" t="n"/>
      <c r="W9" s="15" t="n"/>
      <c r="X9" s="15">
        <f>U9-W9</f>
        <v/>
      </c>
      <c r="Y9" s="12" t="n"/>
      <c r="Z9" s="15" t="n"/>
      <c r="AA9" s="15">
        <f>X9-Z9</f>
        <v/>
      </c>
      <c r="AB9" s="12" t="n"/>
      <c r="AC9" s="15" t="n"/>
      <c r="AD9" s="15">
        <f>AA9-AC9</f>
        <v/>
      </c>
      <c r="AE9" s="12" t="n"/>
      <c r="AF9" s="15" t="n"/>
      <c r="AG9" s="15">
        <f>AD9-AF9</f>
        <v/>
      </c>
      <c r="AH9" s="12" t="n"/>
      <c r="AI9" s="15" t="n"/>
      <c r="AJ9" s="15">
        <f>AG9-AI9</f>
        <v/>
      </c>
      <c r="AK9" s="12" t="n"/>
      <c r="AL9" s="15" t="n"/>
      <c r="AM9" s="15">
        <f>AJ9-AL9</f>
        <v/>
      </c>
      <c r="AN9" s="12" t="n"/>
      <c r="AO9" s="15" t="n"/>
      <c r="AP9" s="15">
        <f>AM9-AO9</f>
        <v/>
      </c>
      <c r="AQ9" s="12" t="n"/>
      <c r="AR9" s="15" t="n"/>
      <c r="AS9" s="15">
        <f>AP9-AR9</f>
        <v/>
      </c>
      <c r="AT9" s="12" t="n"/>
      <c r="AU9" s="15" t="n"/>
      <c r="AV9" s="15">
        <f>AS9-AU9</f>
        <v/>
      </c>
      <c r="AW9" s="12" t="n"/>
      <c r="AX9" s="15" t="n"/>
      <c r="AY9" s="15">
        <f>AV9-AX9</f>
        <v/>
      </c>
      <c r="AZ9" s="12" t="n"/>
      <c r="BA9" s="15" t="n"/>
      <c r="BB9" s="15">
        <f>AY9-BA9</f>
        <v/>
      </c>
      <c r="BC9" s="12" t="n"/>
      <c r="BD9" s="15" t="n"/>
      <c r="BE9" s="15">
        <f>BB9-BD9</f>
        <v/>
      </c>
      <c r="BF9" s="12" t="n"/>
      <c r="BG9" s="15" t="n"/>
      <c r="BH9" s="15">
        <f>BE9-BG9</f>
        <v/>
      </c>
      <c r="BI9" s="12" t="n"/>
      <c r="BJ9" s="15" t="n"/>
      <c r="BK9" s="15">
        <f>BH9-BJ9</f>
        <v/>
      </c>
      <c r="BL9" s="12" t="n"/>
      <c r="BM9" s="15" t="n"/>
      <c r="BN9" s="15">
        <f>BK9-BM9</f>
        <v/>
      </c>
      <c r="BO9" s="12" t="n"/>
      <c r="BP9" s="16">
        <f>H9+K9+N9+Q9+T9+W9+Z9+AC9+AF9+AI9+AL9+AO9+AR9+AU9+AX9+BA9+BD9+BG9+BJ9+BM9</f>
        <v/>
      </c>
      <c r="BQ9" s="16">
        <f>G9-BP9</f>
        <v/>
      </c>
    </row>
    <row r="10">
      <c r="A10" s="1" t="n"/>
      <c r="B10" s="13" t="inlineStr">
        <is>
          <t>HU-08</t>
        </is>
      </c>
      <c r="C10" s="13" t="inlineStr">
        <is>
          <t>Como un Bombero en terreno, necesito consultar desde la app móvil el estado de los vehículos, con la finalidad de saber qué carro está apto antes de salir a una emergencia.</t>
        </is>
      </c>
      <c r="D10" s="13" t="inlineStr">
        <is>
          <t>T26 Probar la app en un dispositivo conectado al servidor</t>
        </is>
      </c>
      <c r="E10" s="13" t="inlineStr">
        <is>
          <t>Equipo Scrum</t>
        </is>
      </c>
      <c r="F10" s="13" t="inlineStr">
        <is>
          <t>Por iniciar</t>
        </is>
      </c>
      <c r="G10" s="13" t="n">
        <v>2</v>
      </c>
      <c r="H10" s="15" t="n"/>
      <c r="I10" s="15">
        <f>G10-H10</f>
        <v/>
      </c>
      <c r="J10" s="12" t="n"/>
      <c r="K10" s="15" t="n"/>
      <c r="L10" s="15">
        <f>I10-K10</f>
        <v/>
      </c>
      <c r="M10" s="12" t="n"/>
      <c r="N10" s="15" t="n"/>
      <c r="O10" s="15">
        <f>L10-N10</f>
        <v/>
      </c>
      <c r="P10" s="12" t="n"/>
      <c r="Q10" s="15" t="n"/>
      <c r="R10" s="15">
        <f>O10-Q10</f>
        <v/>
      </c>
      <c r="S10" s="12" t="n"/>
      <c r="T10" s="15" t="n"/>
      <c r="U10" s="15">
        <f>R10-T10</f>
        <v/>
      </c>
      <c r="V10" s="12" t="n"/>
      <c r="W10" s="15" t="n"/>
      <c r="X10" s="15">
        <f>U10-W10</f>
        <v/>
      </c>
      <c r="Y10" s="12" t="n"/>
      <c r="Z10" s="15" t="n"/>
      <c r="AA10" s="15">
        <f>X10-Z10</f>
        <v/>
      </c>
      <c r="AB10" s="12" t="n"/>
      <c r="AC10" s="15" t="n"/>
      <c r="AD10" s="15">
        <f>AA10-AC10</f>
        <v/>
      </c>
      <c r="AE10" s="12" t="n"/>
      <c r="AF10" s="15" t="n"/>
      <c r="AG10" s="15">
        <f>AD10-AF10</f>
        <v/>
      </c>
      <c r="AH10" s="12" t="n"/>
      <c r="AI10" s="15" t="n"/>
      <c r="AJ10" s="15">
        <f>AG10-AI10</f>
        <v/>
      </c>
      <c r="AK10" s="12" t="n"/>
      <c r="AL10" s="15" t="n"/>
      <c r="AM10" s="15">
        <f>AJ10-AL10</f>
        <v/>
      </c>
      <c r="AN10" s="12" t="n"/>
      <c r="AO10" s="15" t="n"/>
      <c r="AP10" s="15">
        <f>AM10-AO10</f>
        <v/>
      </c>
      <c r="AQ10" s="12" t="n"/>
      <c r="AR10" s="15" t="n"/>
      <c r="AS10" s="15">
        <f>AP10-AR10</f>
        <v/>
      </c>
      <c r="AT10" s="12" t="n"/>
      <c r="AU10" s="15" t="n"/>
      <c r="AV10" s="15">
        <f>AS10-AU10</f>
        <v/>
      </c>
      <c r="AW10" s="12" t="n"/>
      <c r="AX10" s="15" t="n"/>
      <c r="AY10" s="15">
        <f>AV10-AX10</f>
        <v/>
      </c>
      <c r="AZ10" s="12" t="n"/>
      <c r="BA10" s="15" t="n"/>
      <c r="BB10" s="15">
        <f>AY10-BA10</f>
        <v/>
      </c>
      <c r="BC10" s="12" t="n"/>
      <c r="BD10" s="15" t="n"/>
      <c r="BE10" s="15">
        <f>BB10-BD10</f>
        <v/>
      </c>
      <c r="BF10" s="12" t="n"/>
      <c r="BG10" s="15" t="n"/>
      <c r="BH10" s="15">
        <f>BE10-BG10</f>
        <v/>
      </c>
      <c r="BI10" s="12" t="n"/>
      <c r="BJ10" s="15" t="n"/>
      <c r="BK10" s="15">
        <f>BH10-BJ10</f>
        <v/>
      </c>
      <c r="BL10" s="12" t="n"/>
      <c r="BM10" s="15" t="n"/>
      <c r="BN10" s="15">
        <f>BK10-BM10</f>
        <v/>
      </c>
      <c r="BO10" s="12" t="n"/>
      <c r="BP10" s="16">
        <f>H10+K10+N10+Q10+T10+W10+Z10+AC10+AF10+AI10+AL10+AO10+AR10+AU10+AX10+BA10+BD10+BG10+BJ10+BM10</f>
        <v/>
      </c>
      <c r="BQ10" s="16">
        <f>G10-BP10</f>
        <v/>
      </c>
    </row>
    <row r="11">
      <c r="A11" s="1" t="n"/>
      <c r="B11" s="20" t="inlineStr">
        <is>
          <t>Total</t>
        </is>
      </c>
      <c r="C11" s="20" t="n"/>
      <c r="D11" s="20" t="n"/>
      <c r="E11" s="20" t="n"/>
      <c r="F11" s="20" t="n"/>
      <c r="G11" s="20">
        <f>SUM(G6:G10)</f>
        <v/>
      </c>
      <c r="H11" s="22">
        <f>SUM(H6:H10)</f>
        <v/>
      </c>
      <c r="I11" s="22">
        <f>SUM(I6:I10)</f>
        <v/>
      </c>
      <c r="J11" s="23" t="n"/>
      <c r="K11" s="22">
        <f>SUM(K6:K10)</f>
        <v/>
      </c>
      <c r="L11" s="22">
        <f>SUM(L6:L10)</f>
        <v/>
      </c>
      <c r="M11" s="23" t="n"/>
      <c r="N11" s="22">
        <f>SUM(N6:N10)</f>
        <v/>
      </c>
      <c r="O11" s="22">
        <f>SUM(O6:O10)</f>
        <v/>
      </c>
      <c r="P11" s="23" t="n"/>
      <c r="Q11" s="22">
        <f>SUM(Q6:Q10)</f>
        <v/>
      </c>
      <c r="R11" s="22">
        <f>SUM(R6:R10)</f>
        <v/>
      </c>
      <c r="S11" s="23" t="n"/>
      <c r="T11" s="22">
        <f>SUM(T6:T10)</f>
        <v/>
      </c>
      <c r="U11" s="22">
        <f>SUM(U6:U10)</f>
        <v/>
      </c>
      <c r="V11" s="23" t="n"/>
      <c r="W11" s="22">
        <f>SUM(W6:W10)</f>
        <v/>
      </c>
      <c r="X11" s="22">
        <f>SUM(X6:X10)</f>
        <v/>
      </c>
      <c r="Y11" s="23" t="n"/>
      <c r="Z11" s="22">
        <f>SUM(Z6:Z10)</f>
        <v/>
      </c>
      <c r="AA11" s="22">
        <f>SUM(AA6:AA10)</f>
        <v/>
      </c>
      <c r="AB11" s="23" t="n"/>
      <c r="AC11" s="22">
        <f>SUM(AC6:AC10)</f>
        <v/>
      </c>
      <c r="AD11" s="22">
        <f>SUM(AD6:AD10)</f>
        <v/>
      </c>
      <c r="AE11" s="23" t="n"/>
      <c r="AF11" s="22">
        <f>SUM(AF6:AF10)</f>
        <v/>
      </c>
      <c r="AG11" s="22">
        <f>SUM(AG6:AG10)</f>
        <v/>
      </c>
      <c r="AH11" s="23" t="n"/>
      <c r="AI11" s="22">
        <f>SUM(AI6:AI10)</f>
        <v/>
      </c>
      <c r="AJ11" s="22">
        <f>SUM(AJ6:AJ10)</f>
        <v/>
      </c>
      <c r="AK11" s="23" t="n"/>
      <c r="AL11" s="22" t="n"/>
      <c r="AM11" s="22" t="n"/>
      <c r="AN11" s="23" t="n"/>
      <c r="AO11" s="22" t="n"/>
      <c r="AP11" s="22" t="n"/>
      <c r="AQ11" s="23" t="n"/>
      <c r="AR11" s="22" t="n"/>
      <c r="AS11" s="22" t="n"/>
      <c r="AT11" s="23" t="n"/>
      <c r="AU11" s="22" t="n"/>
      <c r="AV11" s="22" t="n"/>
      <c r="AW11" s="23" t="n"/>
      <c r="AX11" s="22" t="n"/>
      <c r="AY11" s="22" t="n"/>
      <c r="AZ11" s="23" t="n"/>
      <c r="BA11" s="22" t="n"/>
      <c r="BB11" s="22" t="n"/>
      <c r="BC11" s="23" t="n"/>
      <c r="BD11" s="22" t="n"/>
      <c r="BE11" s="22" t="n"/>
      <c r="BF11" s="23" t="n"/>
      <c r="BG11" s="22" t="n"/>
      <c r="BH11" s="22" t="n"/>
      <c r="BI11" s="23" t="n"/>
      <c r="BJ11" s="22" t="n"/>
      <c r="BK11" s="22" t="n"/>
      <c r="BL11" s="23" t="n"/>
      <c r="BM11" s="22" t="n"/>
      <c r="BN11" s="22" t="n"/>
      <c r="BO11" s="23" t="n"/>
      <c r="BP11" s="24">
        <f>SUM(BP6:BP10)</f>
        <v/>
      </c>
      <c r="BQ11" s="24">
        <f>SUM(BQ6:BQ10)</f>
        <v/>
      </c>
    </row>
    <row r="12">
      <c r="A12" s="1" t="n"/>
      <c r="B12" s="13" t="n"/>
      <c r="C12" s="13" t="n"/>
      <c r="D12" s="13" t="n"/>
      <c r="E12" s="13" t="n"/>
      <c r="F12" s="13" t="n"/>
      <c r="G12" s="13" t="n"/>
      <c r="H12" s="15" t="n"/>
      <c r="I12" s="15" t="n"/>
      <c r="J12" s="12" t="n"/>
      <c r="K12" s="15" t="n"/>
      <c r="L12" s="15" t="n"/>
      <c r="M12" s="12" t="n"/>
      <c r="N12" s="15" t="n"/>
      <c r="O12" s="15" t="n"/>
      <c r="P12" s="12" t="n"/>
      <c r="Q12" s="15" t="n"/>
      <c r="R12" s="15" t="n"/>
      <c r="S12" s="12" t="n"/>
      <c r="T12" s="15" t="n"/>
      <c r="U12" s="15" t="n"/>
      <c r="V12" s="12" t="n"/>
      <c r="W12" s="15" t="n"/>
      <c r="X12" s="15" t="n"/>
      <c r="Y12" s="12" t="n"/>
      <c r="Z12" s="15" t="n"/>
      <c r="AA12" s="15" t="n"/>
      <c r="AB12" s="12" t="n"/>
      <c r="AC12" s="15" t="n"/>
      <c r="AD12" s="15" t="n"/>
      <c r="AE12" s="12" t="n"/>
      <c r="AF12" s="15" t="n"/>
      <c r="AG12" s="15" t="n"/>
      <c r="AH12" s="12" t="n"/>
      <c r="AI12" s="15" t="n"/>
      <c r="AJ12" s="15" t="n"/>
      <c r="AK12" s="12" t="n"/>
      <c r="AL12" s="15" t="n"/>
      <c r="AM12" s="15" t="n"/>
      <c r="AN12" s="12" t="n"/>
      <c r="AO12" s="15" t="n"/>
      <c r="AP12" s="15" t="n"/>
      <c r="AQ12" s="12" t="n"/>
      <c r="AR12" s="15" t="n"/>
      <c r="AS12" s="15" t="n"/>
      <c r="AT12" s="12" t="n"/>
      <c r="AU12" s="15" t="n"/>
      <c r="AV12" s="15" t="n"/>
      <c r="AW12" s="12" t="n"/>
      <c r="AX12" s="15" t="n"/>
      <c r="AY12" s="15" t="n"/>
      <c r="AZ12" s="12" t="n"/>
      <c r="BA12" s="15" t="n"/>
      <c r="BB12" s="15" t="n"/>
      <c r="BC12" s="12" t="n"/>
      <c r="BD12" s="15" t="n"/>
      <c r="BE12" s="15" t="n"/>
      <c r="BF12" s="12" t="n"/>
      <c r="BG12" s="15" t="n"/>
      <c r="BH12" s="15" t="n"/>
      <c r="BI12" s="12" t="n"/>
      <c r="BJ12" s="15" t="n"/>
      <c r="BK12" s="15" t="n"/>
      <c r="BL12" s="12" t="n"/>
      <c r="BM12" s="15" t="n"/>
      <c r="BN12" s="15" t="n"/>
      <c r="BO12" s="12" t="n"/>
      <c r="BP12" s="16" t="n"/>
      <c r="BQ12" s="16" t="n"/>
    </row>
    <row r="13">
      <c r="A13" s="1" t="n"/>
      <c r="B13" s="26" t="inlineStr">
        <is>
          <t>Nota: Sprint planificado: tareas sujetas a ajuste en el Sprint Planning.</t>
        </is>
      </c>
      <c r="C13" s="13" t="n"/>
      <c r="D13" s="13" t="n"/>
      <c r="E13" s="13" t="n"/>
      <c r="F13" s="13" t="n"/>
      <c r="G13" s="13" t="n"/>
      <c r="H13" s="15" t="n"/>
      <c r="I13" s="15" t="n"/>
      <c r="J13" s="12" t="n"/>
      <c r="K13" s="15" t="n"/>
      <c r="L13" s="15" t="n"/>
      <c r="M13" s="12" t="n"/>
      <c r="N13" s="15" t="n"/>
      <c r="O13" s="15" t="n"/>
      <c r="P13" s="12" t="n"/>
      <c r="Q13" s="15" t="n"/>
      <c r="R13" s="15" t="n"/>
      <c r="S13" s="12" t="n"/>
      <c r="T13" s="15" t="n"/>
      <c r="U13" s="15" t="n"/>
      <c r="V13" s="12" t="n"/>
      <c r="W13" s="15" t="n"/>
      <c r="X13" s="15" t="n"/>
      <c r="Y13" s="12" t="n"/>
      <c r="Z13" s="15" t="n"/>
      <c r="AA13" s="15" t="n"/>
      <c r="AB13" s="12" t="n"/>
      <c r="AC13" s="15" t="n"/>
      <c r="AD13" s="15" t="n"/>
      <c r="AE13" s="12" t="n"/>
      <c r="AF13" s="15" t="n"/>
      <c r="AG13" s="15" t="n"/>
      <c r="AH13" s="12" t="n"/>
      <c r="AI13" s="15" t="n"/>
      <c r="AJ13" s="15" t="n"/>
      <c r="AK13" s="12" t="n"/>
      <c r="AL13" s="15" t="n"/>
      <c r="AM13" s="15" t="n"/>
      <c r="AN13" s="12" t="n"/>
      <c r="AO13" s="15" t="n"/>
      <c r="AP13" s="15" t="n"/>
      <c r="AQ13" s="12" t="n"/>
      <c r="AR13" s="15" t="n"/>
      <c r="AS13" s="15" t="n"/>
      <c r="AT13" s="12" t="n"/>
      <c r="AU13" s="15" t="n"/>
      <c r="AV13" s="15" t="n"/>
      <c r="AW13" s="12" t="n"/>
      <c r="AX13" s="15" t="n"/>
      <c r="AY13" s="15" t="n"/>
      <c r="AZ13" s="12" t="n"/>
      <c r="BA13" s="15" t="n"/>
      <c r="BB13" s="15" t="n"/>
      <c r="BC13" s="12" t="n"/>
      <c r="BD13" s="15" t="n"/>
      <c r="BE13" s="15" t="n"/>
      <c r="BF13" s="12" t="n"/>
      <c r="BG13" s="15" t="n"/>
      <c r="BH13" s="15" t="n"/>
      <c r="BI13" s="12" t="n"/>
      <c r="BJ13" s="15" t="n"/>
      <c r="BK13" s="15" t="n"/>
      <c r="BL13" s="12" t="n"/>
      <c r="BM13" s="15" t="n"/>
      <c r="BN13" s="15" t="n"/>
      <c r="BO13" s="12" t="n"/>
      <c r="BP13" s="16" t="n"/>
      <c r="BQ13" s="16" t="n"/>
    </row>
    <row r="14">
      <c r="A14" s="1" t="n"/>
      <c r="B14" s="13" t="n"/>
      <c r="C14" s="13" t="n"/>
      <c r="D14" s="13" t="n"/>
      <c r="E14" s="13" t="n"/>
      <c r="F14" s="13" t="n"/>
      <c r="G14" s="13" t="n"/>
      <c r="H14" s="15" t="n"/>
      <c r="I14" s="15" t="n"/>
      <c r="J14" s="12" t="n"/>
      <c r="K14" s="15" t="n"/>
      <c r="L14" s="15" t="n"/>
      <c r="M14" s="12" t="n"/>
      <c r="N14" s="15" t="n"/>
      <c r="O14" s="15" t="n"/>
      <c r="P14" s="12" t="n"/>
      <c r="Q14" s="15" t="n"/>
      <c r="R14" s="15" t="n"/>
      <c r="S14" s="12" t="n"/>
      <c r="T14" s="15" t="n"/>
      <c r="U14" s="15" t="n"/>
      <c r="V14" s="12" t="n"/>
      <c r="W14" s="15" t="n"/>
      <c r="X14" s="15" t="n"/>
      <c r="Y14" s="12" t="n"/>
      <c r="Z14" s="15" t="n"/>
      <c r="AA14" s="15" t="n"/>
      <c r="AB14" s="12" t="n"/>
      <c r="AC14" s="15" t="n"/>
      <c r="AD14" s="15" t="n"/>
      <c r="AE14" s="12" t="n"/>
      <c r="AF14" s="15" t="n"/>
      <c r="AG14" s="15" t="n"/>
      <c r="AH14" s="12" t="n"/>
      <c r="AI14" s="15" t="n"/>
      <c r="AJ14" s="15" t="n"/>
      <c r="AK14" s="12" t="n"/>
      <c r="AL14" s="15" t="n"/>
      <c r="AM14" s="15" t="n"/>
      <c r="AN14" s="12" t="n"/>
      <c r="AO14" s="15" t="n"/>
      <c r="AP14" s="15" t="n"/>
      <c r="AQ14" s="12" t="n"/>
      <c r="AR14" s="15" t="n"/>
      <c r="AS14" s="15" t="n"/>
      <c r="AT14" s="12" t="n"/>
      <c r="AU14" s="15" t="n"/>
      <c r="AV14" s="15" t="n"/>
      <c r="AW14" s="12" t="n"/>
      <c r="AX14" s="15" t="n"/>
      <c r="AY14" s="15" t="n"/>
      <c r="AZ14" s="12" t="n"/>
      <c r="BA14" s="15" t="n"/>
      <c r="BB14" s="15" t="n"/>
      <c r="BC14" s="12" t="n"/>
      <c r="BD14" s="15" t="n"/>
      <c r="BE14" s="15" t="n"/>
      <c r="BF14" s="12" t="n"/>
      <c r="BG14" s="15" t="n"/>
      <c r="BH14" s="15" t="n"/>
      <c r="BI14" s="12" t="n"/>
      <c r="BJ14" s="15" t="n"/>
      <c r="BK14" s="15" t="n"/>
      <c r="BL14" s="12" t="n"/>
      <c r="BM14" s="15" t="n"/>
      <c r="BN14" s="15" t="n"/>
      <c r="BO14" s="12" t="n"/>
      <c r="BP14" s="16" t="n"/>
      <c r="BQ14" s="16" t="n"/>
    </row>
    <row r="15">
      <c r="A15" s="1" t="n"/>
      <c r="B15" s="13" t="n"/>
      <c r="C15" s="13" t="n"/>
      <c r="D15" s="13" t="n"/>
      <c r="E15" s="13" t="n"/>
      <c r="F15" s="13" t="n"/>
      <c r="G15" s="13" t="n"/>
      <c r="H15" s="15" t="n"/>
      <c r="I15" s="15" t="n"/>
      <c r="J15" s="12" t="n"/>
      <c r="K15" s="15" t="n"/>
      <c r="L15" s="15" t="n"/>
      <c r="M15" s="12" t="n"/>
      <c r="N15" s="15" t="n"/>
      <c r="O15" s="15" t="n"/>
      <c r="P15" s="12" t="n"/>
      <c r="Q15" s="15" t="n"/>
      <c r="R15" s="15" t="n"/>
      <c r="S15" s="12" t="n"/>
      <c r="T15" s="15" t="n"/>
      <c r="U15" s="15" t="n"/>
      <c r="V15" s="12" t="n"/>
      <c r="W15" s="15" t="n"/>
      <c r="X15" s="15" t="n"/>
      <c r="Y15" s="12" t="n"/>
      <c r="Z15" s="15" t="n"/>
      <c r="AA15" s="15" t="n"/>
      <c r="AB15" s="12" t="n"/>
      <c r="AC15" s="15" t="n"/>
      <c r="AD15" s="15" t="n"/>
      <c r="AE15" s="12" t="n"/>
      <c r="AF15" s="15" t="n"/>
      <c r="AG15" s="15" t="n"/>
      <c r="AH15" s="12" t="n"/>
      <c r="AI15" s="15" t="n"/>
      <c r="AJ15" s="15" t="n"/>
      <c r="AK15" s="12" t="n"/>
      <c r="AL15" s="15" t="n"/>
      <c r="AM15" s="15" t="n"/>
      <c r="AN15" s="12" t="n"/>
      <c r="AO15" s="15" t="n"/>
      <c r="AP15" s="15" t="n"/>
      <c r="AQ15" s="12" t="n"/>
      <c r="AR15" s="15" t="n"/>
      <c r="AS15" s="15" t="n"/>
      <c r="AT15" s="12" t="n"/>
      <c r="AU15" s="15" t="n"/>
      <c r="AV15" s="15" t="n"/>
      <c r="AW15" s="12" t="n"/>
      <c r="AX15" s="15" t="n"/>
      <c r="AY15" s="15" t="n"/>
      <c r="AZ15" s="12" t="n"/>
      <c r="BA15" s="15" t="n"/>
      <c r="BB15" s="15" t="n"/>
      <c r="BC15" s="12" t="n"/>
      <c r="BD15" s="15" t="n"/>
      <c r="BE15" s="15" t="n"/>
      <c r="BF15" s="12" t="n"/>
      <c r="BG15" s="15" t="n"/>
      <c r="BH15" s="15" t="n"/>
      <c r="BI15" s="12" t="n"/>
      <c r="BJ15" s="15" t="n"/>
      <c r="BK15" s="15" t="n"/>
      <c r="BL15" s="12" t="n"/>
      <c r="BM15" s="15" t="n"/>
      <c r="BN15" s="15" t="n"/>
      <c r="BO15" s="12" t="n"/>
      <c r="BP15" s="16" t="n"/>
      <c r="BQ15" s="16" t="n"/>
    </row>
    <row r="16">
      <c r="A16" s="1" t="n"/>
      <c r="B16" s="13" t="n"/>
      <c r="C16" s="13" t="n"/>
      <c r="D16" s="13" t="n"/>
      <c r="E16" s="13" t="n"/>
      <c r="F16" s="13" t="n"/>
      <c r="G16" s="13" t="n"/>
      <c r="H16" s="15" t="n"/>
      <c r="I16" s="15" t="n"/>
      <c r="J16" s="12" t="n"/>
      <c r="K16" s="15" t="n"/>
      <c r="L16" s="15" t="n"/>
      <c r="M16" s="12" t="n"/>
      <c r="N16" s="15" t="n"/>
      <c r="O16" s="15" t="n"/>
      <c r="P16" s="12" t="n"/>
      <c r="Q16" s="15" t="n"/>
      <c r="R16" s="15" t="n"/>
      <c r="S16" s="12" t="n"/>
      <c r="T16" s="15" t="n"/>
      <c r="U16" s="15" t="n"/>
      <c r="V16" s="12" t="n"/>
      <c r="W16" s="15" t="n"/>
      <c r="X16" s="15" t="n"/>
      <c r="Y16" s="12" t="n"/>
      <c r="Z16" s="15" t="n"/>
      <c r="AA16" s="15" t="n"/>
      <c r="AB16" s="12" t="n"/>
      <c r="AC16" s="15" t="n"/>
      <c r="AD16" s="15" t="n"/>
      <c r="AE16" s="12" t="n"/>
      <c r="AF16" s="15" t="n"/>
      <c r="AG16" s="15" t="n"/>
      <c r="AH16" s="12" t="n"/>
      <c r="AI16" s="15" t="n"/>
      <c r="AJ16" s="15" t="n"/>
      <c r="AK16" s="12" t="n"/>
      <c r="AL16" s="15" t="n"/>
      <c r="AM16" s="15" t="n"/>
      <c r="AN16" s="12" t="n"/>
      <c r="AO16" s="15" t="n"/>
      <c r="AP16" s="15" t="n"/>
      <c r="AQ16" s="12" t="n"/>
      <c r="AR16" s="15" t="n"/>
      <c r="AS16" s="15" t="n"/>
      <c r="AT16" s="12" t="n"/>
      <c r="AU16" s="15" t="n"/>
      <c r="AV16" s="15" t="n"/>
      <c r="AW16" s="12" t="n"/>
      <c r="AX16" s="15" t="n"/>
      <c r="AY16" s="15" t="n"/>
      <c r="AZ16" s="12" t="n"/>
      <c r="BA16" s="15" t="n"/>
      <c r="BB16" s="15" t="n"/>
      <c r="BC16" s="12" t="n"/>
      <c r="BD16" s="15" t="n"/>
      <c r="BE16" s="15" t="n"/>
      <c r="BF16" s="12" t="n"/>
      <c r="BG16" s="15" t="n"/>
      <c r="BH16" s="15" t="n"/>
      <c r="BI16" s="12" t="n"/>
      <c r="BJ16" s="15" t="n"/>
      <c r="BK16" s="15" t="n"/>
      <c r="BL16" s="12" t="n"/>
      <c r="BM16" s="15" t="n"/>
      <c r="BN16" s="15" t="n"/>
      <c r="BO16" s="12" t="n"/>
      <c r="BP16" s="16" t="n"/>
      <c r="BQ16" s="16" t="n"/>
    </row>
    <row r="17">
      <c r="A17" s="1" t="n"/>
      <c r="B17" s="13" t="n"/>
      <c r="C17" s="13" t="n"/>
      <c r="D17" s="13" t="n"/>
      <c r="E17" s="13" t="n"/>
      <c r="F17" s="13" t="n"/>
      <c r="G17" s="13" t="n"/>
      <c r="H17" s="15" t="n"/>
      <c r="I17" s="15" t="n"/>
      <c r="J17" s="12" t="n"/>
      <c r="K17" s="15" t="n"/>
      <c r="L17" s="15" t="n"/>
      <c r="M17" s="12" t="n"/>
      <c r="N17" s="15" t="n"/>
      <c r="O17" s="15" t="n"/>
      <c r="P17" s="12" t="n"/>
      <c r="Q17" s="15" t="n"/>
      <c r="R17" s="15" t="n"/>
      <c r="S17" s="12" t="n"/>
      <c r="T17" s="15" t="n"/>
      <c r="U17" s="15" t="n"/>
      <c r="V17" s="12" t="n"/>
      <c r="W17" s="15" t="n"/>
      <c r="X17" s="15" t="n"/>
      <c r="Y17" s="12" t="n"/>
      <c r="Z17" s="15" t="n"/>
      <c r="AA17" s="15" t="n"/>
      <c r="AB17" s="12" t="n"/>
      <c r="AC17" s="15" t="n"/>
      <c r="AD17" s="15" t="n"/>
      <c r="AE17" s="12" t="n"/>
      <c r="AF17" s="15" t="n"/>
      <c r="AG17" s="15" t="n"/>
      <c r="AH17" s="12" t="n"/>
      <c r="AI17" s="15" t="n"/>
      <c r="AJ17" s="15" t="n"/>
      <c r="AK17" s="12" t="n"/>
      <c r="AL17" s="15" t="n"/>
      <c r="AM17" s="15" t="n"/>
      <c r="AN17" s="12" t="n"/>
      <c r="AO17" s="15" t="n"/>
      <c r="AP17" s="15" t="n"/>
      <c r="AQ17" s="12" t="n"/>
      <c r="AR17" s="15" t="n"/>
      <c r="AS17" s="15" t="n"/>
      <c r="AT17" s="12" t="n"/>
      <c r="AU17" s="15" t="n"/>
      <c r="AV17" s="15" t="n"/>
      <c r="AW17" s="12" t="n"/>
      <c r="AX17" s="15" t="n"/>
      <c r="AY17" s="15" t="n"/>
      <c r="AZ17" s="12" t="n"/>
      <c r="BA17" s="15" t="n"/>
      <c r="BB17" s="15" t="n"/>
      <c r="BC17" s="12" t="n"/>
      <c r="BD17" s="15" t="n"/>
      <c r="BE17" s="15" t="n"/>
      <c r="BF17" s="12" t="n"/>
      <c r="BG17" s="15" t="n"/>
      <c r="BH17" s="15" t="n"/>
      <c r="BI17" s="12" t="n"/>
      <c r="BJ17" s="15" t="n"/>
      <c r="BK17" s="15" t="n"/>
      <c r="BL17" s="12" t="n"/>
      <c r="BM17" s="15" t="n"/>
      <c r="BN17" s="15" t="n"/>
      <c r="BO17" s="12" t="n"/>
      <c r="BP17" s="16" t="n"/>
      <c r="BQ17" s="16"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c r="BH18" s="1" t="n"/>
      <c r="BI18" s="1" t="n"/>
      <c r="BJ18" s="1" t="n"/>
      <c r="BK18" s="1" t="n"/>
      <c r="BL18" s="1" t="n"/>
      <c r="BM18" s="1" t="n"/>
      <c r="BN18" s="1" t="n"/>
      <c r="BO18" s="1" t="n"/>
      <c r="BP18" s="1" t="n"/>
      <c r="BQ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c r="BH19" s="1" t="n"/>
      <c r="BI19" s="1" t="n"/>
      <c r="BJ19" s="1" t="n"/>
      <c r="BK19" s="1" t="n"/>
      <c r="BL19" s="1" t="n"/>
      <c r="BM19" s="1" t="n"/>
      <c r="BN19" s="1" t="n"/>
      <c r="BO19" s="1" t="n"/>
      <c r="BP19" s="1" t="n"/>
      <c r="BQ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c r="BH20" s="1" t="n"/>
      <c r="BI20" s="1" t="n"/>
      <c r="BJ20" s="1" t="n"/>
      <c r="BK20" s="1" t="n"/>
      <c r="BL20" s="1" t="n"/>
      <c r="BM20" s="1" t="n"/>
      <c r="BN20" s="1" t="n"/>
      <c r="BO20" s="1" t="n"/>
      <c r="BP20" s="1" t="n"/>
      <c r="BQ20" s="1" t="n"/>
    </row>
    <row r="21" ht="15.75" customHeight="1" s="1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row>
    <row r="22" ht="15.75" customHeight="1" s="1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row>
    <row r="23" ht="15.75" customHeight="1" s="1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row>
    <row r="24" ht="15.75" customHeight="1" s="1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21">
    <mergeCell ref="W4:X4"/>
    <mergeCell ref="AX4:AY4"/>
    <mergeCell ref="BJ4:BK4"/>
    <mergeCell ref="H4:I4"/>
    <mergeCell ref="AU4:AV4"/>
    <mergeCell ref="T4:U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BQ1000"/>
  <sheetViews>
    <sheetView tabSelected="0" workbookViewId="0">
      <selection activeCell="A1" sqref="A1"/>
    </sheetView>
  </sheetViews>
  <sheetFormatPr baseColWidth="8" defaultColWidth="12.63" defaultRowHeight="15" customHeight="1"/>
  <cols>
    <col width="1.25" customWidth="1" style="18" min="1" max="1"/>
    <col width="14.38" customWidth="1" style="18" min="2" max="2"/>
    <col width="29.75" customWidth="1" style="18" min="3" max="3"/>
    <col width="18.25"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 width="2.38" customWidth="1" style="18" min="25" max="25"/>
    <col width="5.13" customWidth="1" style="18" min="26" max="26"/>
    <col width="4.75" customWidth="1" style="18" min="27" max="27"/>
    <col width="2.38" customWidth="1" style="18" min="28" max="28"/>
    <col width="5.13" customWidth="1" style="18" min="29" max="29"/>
    <col width="4.75" customWidth="1" style="18" min="30" max="30"/>
    <col width="2.38" customWidth="1" style="18" min="31" max="31"/>
    <col width="5.13" customWidth="1" style="18" min="32" max="32"/>
    <col width="4.75" customWidth="1" style="18" min="33" max="33"/>
    <col width="2.38" customWidth="1" style="18" min="34" max="34"/>
    <col width="5.13" customWidth="1" style="18" min="35" max="35"/>
    <col width="4.75" customWidth="1" style="18" min="36" max="36"/>
    <col width="2.38" customWidth="1" style="18" min="37" max="37"/>
    <col width="5.13" customWidth="1" style="18" min="38" max="38"/>
    <col width="4.75" customWidth="1" style="18" min="39" max="39"/>
    <col width="2.38" customWidth="1" style="18" min="40" max="40"/>
    <col width="5.13" customWidth="1" style="18" min="41" max="41"/>
    <col width="4.75" customWidth="1" style="18" min="42" max="42"/>
    <col width="2.38" customWidth="1" style="18" min="43" max="43"/>
    <col width="5.13" customWidth="1" style="18" min="44" max="44"/>
    <col width="4.75" customWidth="1" style="18" min="45" max="45"/>
    <col width="2.38" customWidth="1" style="18" min="46" max="46"/>
    <col width="5.13" customWidth="1" style="18" min="47" max="47"/>
    <col width="4.75" customWidth="1" style="18" min="48" max="48"/>
    <col width="2.38" customWidth="1" style="18" min="49" max="49"/>
    <col width="5.13" customWidth="1" style="18" min="50" max="50"/>
    <col width="4.75" customWidth="1" style="18" min="51" max="51"/>
    <col width="2.38" customWidth="1" style="18" min="52" max="52"/>
    <col width="5.13" customWidth="1" style="18" min="53" max="53"/>
    <col width="4.75" customWidth="1" style="18" min="54" max="54"/>
    <col width="2.38" customWidth="1" style="18" min="55" max="55"/>
    <col width="5.13" customWidth="1" style="18" min="56" max="56"/>
    <col width="4.75" customWidth="1" style="18" min="57" max="57"/>
    <col width="2.38" customWidth="1" style="18" min="58" max="58"/>
    <col width="5.13" customWidth="1" style="18" min="59" max="59"/>
    <col width="4.75" customWidth="1" style="18" min="60" max="60"/>
    <col width="2.38" customWidth="1" style="18" min="61" max="61"/>
    <col width="5.13" customWidth="1" style="18" min="62" max="62"/>
    <col width="4.75" customWidth="1" style="18" min="63" max="63"/>
    <col width="2.38" customWidth="1" style="18" min="64" max="64"/>
    <col width="5.13" customWidth="1" style="18" min="65" max="65"/>
    <col width="4.75" customWidth="1" style="18" min="66" max="66"/>
    <col width="2.38" customWidth="1" style="18" min="67" max="67"/>
    <col width="5.13" customWidth="1" style="18" min="68" max="68"/>
    <col width="4.75" customWidth="1" style="18"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 – FireFleet – Sprint 4: 03/11/2026 al 16/11/2026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c r="A4" s="1" t="n"/>
      <c r="B4" s="1" t="n"/>
      <c r="C4" s="1" t="n"/>
      <c r="D4" s="1" t="n"/>
      <c r="E4" s="1" t="n"/>
      <c r="F4" s="1" t="n"/>
      <c r="G4" s="1" t="n"/>
      <c r="H4" s="9" t="inlineStr">
        <is>
          <t>Día 1 (03/11)</t>
        </is>
      </c>
      <c r="I4" s="19" t="n"/>
      <c r="J4" s="8" t="n"/>
      <c r="K4" s="9" t="inlineStr">
        <is>
          <t>Día 2 (04/11)</t>
        </is>
      </c>
      <c r="L4" s="19" t="n"/>
      <c r="M4" s="8" t="n"/>
      <c r="N4" s="9" t="inlineStr">
        <is>
          <t>Día 3 (05/11)</t>
        </is>
      </c>
      <c r="O4" s="19" t="n"/>
      <c r="P4" s="8" t="n"/>
      <c r="Q4" s="9" t="inlineStr">
        <is>
          <t>Día 4 (06/11)</t>
        </is>
      </c>
      <c r="R4" s="19" t="n"/>
      <c r="S4" s="8" t="n"/>
      <c r="T4" s="9" t="inlineStr">
        <is>
          <t>Día 5 (09/11)</t>
        </is>
      </c>
      <c r="U4" s="19" t="n"/>
      <c r="V4" s="8" t="n"/>
      <c r="W4" s="9" t="inlineStr">
        <is>
          <t>Día 6 (10/11)</t>
        </is>
      </c>
      <c r="X4" s="19" t="n"/>
      <c r="Y4" s="8" t="n"/>
      <c r="Z4" s="9" t="inlineStr">
        <is>
          <t>Día 7 (11/11)</t>
        </is>
      </c>
      <c r="AA4" s="19" t="n"/>
      <c r="AB4" s="8" t="n"/>
      <c r="AC4" s="9" t="inlineStr">
        <is>
          <t>Día 8 (12/11)</t>
        </is>
      </c>
      <c r="AD4" s="19" t="n"/>
      <c r="AE4" s="8" t="n"/>
      <c r="AF4" s="9" t="inlineStr">
        <is>
          <t>Día 9 (13/11)</t>
        </is>
      </c>
      <c r="AG4" s="19" t="n"/>
      <c r="AH4" s="8" t="n"/>
      <c r="AI4" s="9" t="inlineStr">
        <is>
          <t>Día 10 (16/11)</t>
        </is>
      </c>
      <c r="AJ4" s="19" t="n"/>
      <c r="AK4" s="8" t="n"/>
      <c r="AL4" s="9" t="n"/>
      <c r="AM4" s="19" t="n"/>
      <c r="AN4" s="8" t="n"/>
      <c r="AO4" s="9" t="n"/>
      <c r="AP4" s="19" t="n"/>
      <c r="AQ4" s="8" t="n"/>
      <c r="AR4" s="9" t="n"/>
      <c r="AS4" s="19" t="n"/>
      <c r="AT4" s="8" t="n"/>
      <c r="AU4" s="9" t="n"/>
      <c r="AV4" s="19" t="n"/>
      <c r="AW4" s="8" t="n"/>
      <c r="AX4" s="9" t="n"/>
      <c r="AY4" s="19" t="n"/>
      <c r="AZ4" s="8" t="n"/>
      <c r="BA4" s="9" t="n"/>
      <c r="BB4" s="19" t="n"/>
      <c r="BC4" s="8" t="n"/>
      <c r="BD4" s="9" t="n"/>
      <c r="BE4" s="19" t="n"/>
      <c r="BF4" s="8" t="n"/>
      <c r="BG4" s="9" t="n"/>
      <c r="BH4" s="19" t="n"/>
      <c r="BI4" s="8" t="n"/>
      <c r="BJ4" s="9" t="n"/>
      <c r="BK4" s="19" t="n"/>
      <c r="BL4" s="8" t="n"/>
      <c r="BM4" s="9" t="n"/>
      <c r="BN4" s="19" t="n"/>
      <c r="BO4" s="8" t="n"/>
      <c r="BP4" s="9" t="inlineStr">
        <is>
          <t>Total</t>
        </is>
      </c>
      <c r="BQ4" s="19" t="n"/>
    </row>
    <row r="5">
      <c r="A5" s="1" t="n"/>
      <c r="B5" s="9" t="inlineStr">
        <is>
          <t>Identificador (ID) de item de product backlog</t>
        </is>
      </c>
      <c r="C5" s="9" t="inlineStr">
        <is>
          <t>Enunciado del item de Product Backlog</t>
        </is>
      </c>
      <c r="D5" s="9" t="inlineStr">
        <is>
          <t>Tarea</t>
        </is>
      </c>
      <c r="E5" s="9" t="inlineStr">
        <is>
          <t>Dueño / Voluntario</t>
        </is>
      </c>
      <c r="F5" s="9" t="inlineStr">
        <is>
          <t>Estatus</t>
        </is>
      </c>
      <c r="G5" s="9" t="inlineStr">
        <is>
          <t>Horas estimadas totales</t>
        </is>
      </c>
      <c r="H5" s="10" t="inlineStr">
        <is>
          <t>Cons.</t>
        </is>
      </c>
      <c r="I5" s="10" t="inlineStr">
        <is>
          <t>Rest.</t>
        </is>
      </c>
      <c r="J5" s="10" t="n"/>
      <c r="K5" s="10" t="inlineStr">
        <is>
          <t>Cons.</t>
        </is>
      </c>
      <c r="L5" s="10" t="inlineStr">
        <is>
          <t>Rest.</t>
        </is>
      </c>
      <c r="M5" s="10" t="n"/>
      <c r="N5" s="10" t="inlineStr">
        <is>
          <t>Cons.</t>
        </is>
      </c>
      <c r="O5" s="10" t="inlineStr">
        <is>
          <t>Rest.</t>
        </is>
      </c>
      <c r="P5" s="10" t="n"/>
      <c r="Q5" s="10" t="inlineStr">
        <is>
          <t>Cons.</t>
        </is>
      </c>
      <c r="R5" s="10" t="inlineStr">
        <is>
          <t>Rest.</t>
        </is>
      </c>
      <c r="S5" s="10" t="n"/>
      <c r="T5" s="10" t="inlineStr">
        <is>
          <t>Cons.</t>
        </is>
      </c>
      <c r="U5" s="10" t="inlineStr">
        <is>
          <t>Rest.</t>
        </is>
      </c>
      <c r="V5" s="10" t="n"/>
      <c r="W5" s="10" t="inlineStr">
        <is>
          <t>Cons.</t>
        </is>
      </c>
      <c r="X5" s="10" t="inlineStr">
        <is>
          <t>Rest.</t>
        </is>
      </c>
      <c r="Y5" s="10" t="n"/>
      <c r="Z5" s="10" t="inlineStr">
        <is>
          <t>Cons.</t>
        </is>
      </c>
      <c r="AA5" s="10" t="inlineStr">
        <is>
          <t>Rest.</t>
        </is>
      </c>
      <c r="AB5" s="10" t="n"/>
      <c r="AC5" s="10" t="inlineStr">
        <is>
          <t>Cons.</t>
        </is>
      </c>
      <c r="AD5" s="10" t="inlineStr">
        <is>
          <t>Rest.</t>
        </is>
      </c>
      <c r="AE5" s="10" t="n"/>
      <c r="AF5" s="10" t="inlineStr">
        <is>
          <t>Cons.</t>
        </is>
      </c>
      <c r="AG5" s="10" t="inlineStr">
        <is>
          <t>Rest.</t>
        </is>
      </c>
      <c r="AH5" s="10" t="n"/>
      <c r="AI5" s="10" t="inlineStr">
        <is>
          <t>Cons.</t>
        </is>
      </c>
      <c r="AJ5" s="10" t="inlineStr">
        <is>
          <t>Rest.</t>
        </is>
      </c>
      <c r="AK5" s="10" t="n"/>
      <c r="AL5" s="10" t="inlineStr">
        <is>
          <t>Cons.</t>
        </is>
      </c>
      <c r="AM5" s="10" t="inlineStr">
        <is>
          <t>Rest.</t>
        </is>
      </c>
      <c r="AN5" s="10" t="n"/>
      <c r="AO5" s="10" t="inlineStr">
        <is>
          <t>Cons.</t>
        </is>
      </c>
      <c r="AP5" s="10" t="inlineStr">
        <is>
          <t>Rest.</t>
        </is>
      </c>
      <c r="AQ5" s="10" t="n"/>
      <c r="AR5" s="10" t="inlineStr">
        <is>
          <t>Cons.</t>
        </is>
      </c>
      <c r="AS5" s="10" t="inlineStr">
        <is>
          <t>Rest.</t>
        </is>
      </c>
      <c r="AT5" s="10" t="n"/>
      <c r="AU5" s="10" t="inlineStr">
        <is>
          <t>Cons.</t>
        </is>
      </c>
      <c r="AV5" s="10" t="inlineStr">
        <is>
          <t>Rest.</t>
        </is>
      </c>
      <c r="AW5" s="10" t="n"/>
      <c r="AX5" s="10" t="inlineStr">
        <is>
          <t>Cons.</t>
        </is>
      </c>
      <c r="AY5" s="10" t="inlineStr">
        <is>
          <t>Rest.</t>
        </is>
      </c>
      <c r="AZ5" s="10" t="n"/>
      <c r="BA5" s="10" t="inlineStr">
        <is>
          <t>Cons.</t>
        </is>
      </c>
      <c r="BB5" s="10" t="inlineStr">
        <is>
          <t>Rest.</t>
        </is>
      </c>
      <c r="BC5" s="10" t="n"/>
      <c r="BD5" s="10" t="inlineStr">
        <is>
          <t>Cons.</t>
        </is>
      </c>
      <c r="BE5" s="10" t="inlineStr">
        <is>
          <t>Rest.</t>
        </is>
      </c>
      <c r="BF5" s="10" t="n"/>
      <c r="BG5" s="10" t="inlineStr">
        <is>
          <t>Cons.</t>
        </is>
      </c>
      <c r="BH5" s="10" t="inlineStr">
        <is>
          <t>Rest.</t>
        </is>
      </c>
      <c r="BI5" s="10" t="n"/>
      <c r="BJ5" s="10" t="inlineStr">
        <is>
          <t>Cons.</t>
        </is>
      </c>
      <c r="BK5" s="10" t="inlineStr">
        <is>
          <t>Rest.</t>
        </is>
      </c>
      <c r="BL5" s="10" t="n"/>
      <c r="BM5" s="10" t="inlineStr">
        <is>
          <t>Cons.</t>
        </is>
      </c>
      <c r="BN5" s="10" t="inlineStr">
        <is>
          <t>Rest.</t>
        </is>
      </c>
      <c r="BO5" s="10" t="n"/>
      <c r="BP5" s="10" t="inlineStr">
        <is>
          <t>Cons.</t>
        </is>
      </c>
      <c r="BQ5" s="10" t="inlineStr">
        <is>
          <t>Rest.</t>
        </is>
      </c>
    </row>
    <row r="6">
      <c r="A6" s="1" t="n"/>
      <c r="B6" s="13" t="inlineStr">
        <is>
          <t>HU-11</t>
        </is>
      </c>
      <c r="C6" s="13" t="inlineStr">
        <is>
          <t>Como un Administrador, necesito que la API solo responda a usuarios autenticados, con la finalidad de proteger la información de la flota.</t>
        </is>
      </c>
      <c r="D6" s="13" t="inlineStr">
        <is>
          <t>T27 Implementar autenticación en los endpoints de la API</t>
        </is>
      </c>
      <c r="E6" s="13" t="inlineStr">
        <is>
          <t>Equipo Scrum</t>
        </is>
      </c>
      <c r="F6" s="13" t="inlineStr">
        <is>
          <t>Por iniciar</t>
        </is>
      </c>
      <c r="G6" s="13" t="n">
        <v>4</v>
      </c>
      <c r="H6" s="15" t="n"/>
      <c r="I6" s="15">
        <f>G6-H6</f>
        <v/>
      </c>
      <c r="J6" s="12" t="n"/>
      <c r="K6" s="15" t="n"/>
      <c r="L6" s="15">
        <f>I6-K6</f>
        <v/>
      </c>
      <c r="M6" s="12" t="n"/>
      <c r="N6" s="15" t="n"/>
      <c r="O6" s="15">
        <f>L6-N6</f>
        <v/>
      </c>
      <c r="P6" s="12" t="n"/>
      <c r="Q6" s="15" t="n"/>
      <c r="R6" s="15">
        <f>O6-Q6</f>
        <v/>
      </c>
      <c r="S6" s="12" t="n"/>
      <c r="T6" s="15" t="n"/>
      <c r="U6" s="15">
        <f>R6-T6</f>
        <v/>
      </c>
      <c r="V6" s="12" t="n"/>
      <c r="W6" s="15" t="n"/>
      <c r="X6" s="15">
        <f>U6-W6</f>
        <v/>
      </c>
      <c r="Y6" s="12" t="n"/>
      <c r="Z6" s="15" t="n"/>
      <c r="AA6" s="15">
        <f>X6-Z6</f>
        <v/>
      </c>
      <c r="AB6" s="12" t="n"/>
      <c r="AC6" s="15" t="n"/>
      <c r="AD6" s="15">
        <f>AA6-AC6</f>
        <v/>
      </c>
      <c r="AE6" s="12" t="n"/>
      <c r="AF6" s="15" t="n"/>
      <c r="AG6" s="15">
        <f>AD6-AF6</f>
        <v/>
      </c>
      <c r="AH6" s="12" t="n"/>
      <c r="AI6" s="15" t="n"/>
      <c r="AJ6" s="15">
        <f>AG6-AI6</f>
        <v/>
      </c>
      <c r="AK6" s="12" t="n"/>
      <c r="AL6" s="15" t="n"/>
      <c r="AM6" s="15">
        <f>AJ6-AL6</f>
        <v/>
      </c>
      <c r="AN6" s="12" t="n"/>
      <c r="AO6" s="15" t="n"/>
      <c r="AP6" s="15">
        <f>AM6-AO6</f>
        <v/>
      </c>
      <c r="AQ6" s="12" t="n"/>
      <c r="AR6" s="15" t="n"/>
      <c r="AS6" s="15">
        <f>AP6-AR6</f>
        <v/>
      </c>
      <c r="AT6" s="12" t="n"/>
      <c r="AU6" s="15" t="n"/>
      <c r="AV6" s="15">
        <f>AS6-AU6</f>
        <v/>
      </c>
      <c r="AW6" s="12" t="n"/>
      <c r="AX6" s="15" t="n"/>
      <c r="AY6" s="15">
        <f>AV6-AX6</f>
        <v/>
      </c>
      <c r="AZ6" s="12" t="n"/>
      <c r="BA6" s="15" t="n"/>
      <c r="BB6" s="15">
        <f>AY6-BA6</f>
        <v/>
      </c>
      <c r="BC6" s="12" t="n"/>
      <c r="BD6" s="15" t="n"/>
      <c r="BE6" s="15">
        <f>BB6-BD6</f>
        <v/>
      </c>
      <c r="BF6" s="12" t="n"/>
      <c r="BG6" s="15" t="n"/>
      <c r="BH6" s="15">
        <f>BE6-BG6</f>
        <v/>
      </c>
      <c r="BI6" s="12" t="n"/>
      <c r="BJ6" s="15" t="n"/>
      <c r="BK6" s="15">
        <f>BH6-BJ6</f>
        <v/>
      </c>
      <c r="BL6" s="12" t="n"/>
      <c r="BM6" s="15" t="n"/>
      <c r="BN6" s="15">
        <f>BK6-BM6</f>
        <v/>
      </c>
      <c r="BO6" s="12" t="n"/>
      <c r="BP6" s="16">
        <f>H6+K6+N6+Q6+T6+W6+Z6+AC6+AF6+AI6+AL6+AO6+AR6+AU6+AX6+BA6+BD6+BG6+BJ6+BM6</f>
        <v/>
      </c>
      <c r="BQ6" s="16">
        <f>G6-BP6</f>
        <v/>
      </c>
    </row>
    <row r="7">
      <c r="A7" s="1" t="n"/>
      <c r="B7" s="13" t="inlineStr">
        <is>
          <t>HU-11</t>
        </is>
      </c>
      <c r="C7" s="13" t="inlineStr">
        <is>
          <t>Como un Administrador, necesito que la API solo responda a usuarios autenticados, con la finalidad de proteger la información de la flota.</t>
        </is>
      </c>
      <c r="D7" s="13" t="inlineStr">
        <is>
          <t>T28 Adaptar la app móvil para enviar las credenciales en cada solicitud</t>
        </is>
      </c>
      <c r="E7" s="13" t="inlineStr">
        <is>
          <t>Equipo Scrum</t>
        </is>
      </c>
      <c r="F7" s="13" t="inlineStr">
        <is>
          <t>Por iniciar</t>
        </is>
      </c>
      <c r="G7" s="13" t="n">
        <v>2</v>
      </c>
      <c r="H7" s="15" t="n"/>
      <c r="I7" s="15">
        <f>G7-H7</f>
        <v/>
      </c>
      <c r="J7" s="12" t="n"/>
      <c r="K7" s="15" t="n"/>
      <c r="L7" s="15">
        <f>I7-K7</f>
        <v/>
      </c>
      <c r="M7" s="12" t="n"/>
      <c r="N7" s="15" t="n"/>
      <c r="O7" s="15">
        <f>L7-N7</f>
        <v/>
      </c>
      <c r="P7" s="12" t="n"/>
      <c r="Q7" s="15" t="n"/>
      <c r="R7" s="15">
        <f>O7-Q7</f>
        <v/>
      </c>
      <c r="S7" s="12" t="n"/>
      <c r="T7" s="15" t="n"/>
      <c r="U7" s="15">
        <f>R7-T7</f>
        <v/>
      </c>
      <c r="V7" s="12" t="n"/>
      <c r="W7" s="15" t="n"/>
      <c r="X7" s="15">
        <f>U7-W7</f>
        <v/>
      </c>
      <c r="Y7" s="12" t="n"/>
      <c r="Z7" s="15" t="n"/>
      <c r="AA7" s="15">
        <f>X7-Z7</f>
        <v/>
      </c>
      <c r="AB7" s="12" t="n"/>
      <c r="AC7" s="15" t="n"/>
      <c r="AD7" s="15">
        <f>AA7-AC7</f>
        <v/>
      </c>
      <c r="AE7" s="12" t="n"/>
      <c r="AF7" s="15" t="n"/>
      <c r="AG7" s="15">
        <f>AD7-AF7</f>
        <v/>
      </c>
      <c r="AH7" s="12" t="n"/>
      <c r="AI7" s="15" t="n"/>
      <c r="AJ7" s="15">
        <f>AG7-AI7</f>
        <v/>
      </c>
      <c r="AK7" s="12" t="n"/>
      <c r="AL7" s="15" t="n"/>
      <c r="AM7" s="15">
        <f>AJ7-AL7</f>
        <v/>
      </c>
      <c r="AN7" s="12" t="n"/>
      <c r="AO7" s="15" t="n"/>
      <c r="AP7" s="15">
        <f>AM7-AO7</f>
        <v/>
      </c>
      <c r="AQ7" s="12" t="n"/>
      <c r="AR7" s="15" t="n"/>
      <c r="AS7" s="15">
        <f>AP7-AR7</f>
        <v/>
      </c>
      <c r="AT7" s="12" t="n"/>
      <c r="AU7" s="15" t="n"/>
      <c r="AV7" s="15">
        <f>AS7-AU7</f>
        <v/>
      </c>
      <c r="AW7" s="12" t="n"/>
      <c r="AX7" s="15" t="n"/>
      <c r="AY7" s="15">
        <f>AV7-AX7</f>
        <v/>
      </c>
      <c r="AZ7" s="12" t="n"/>
      <c r="BA7" s="15" t="n"/>
      <c r="BB7" s="15">
        <f>AY7-BA7</f>
        <v/>
      </c>
      <c r="BC7" s="12" t="n"/>
      <c r="BD7" s="15" t="n"/>
      <c r="BE7" s="15">
        <f>BB7-BD7</f>
        <v/>
      </c>
      <c r="BF7" s="12" t="n"/>
      <c r="BG7" s="15" t="n"/>
      <c r="BH7" s="15">
        <f>BE7-BG7</f>
        <v/>
      </c>
      <c r="BI7" s="12" t="n"/>
      <c r="BJ7" s="15" t="n"/>
      <c r="BK7" s="15">
        <f>BH7-BJ7</f>
        <v/>
      </c>
      <c r="BL7" s="12" t="n"/>
      <c r="BM7" s="15" t="n"/>
      <c r="BN7" s="15">
        <f>BK7-BM7</f>
        <v/>
      </c>
      <c r="BO7" s="12" t="n"/>
      <c r="BP7" s="16">
        <f>H7+K7+N7+Q7+T7+W7+Z7+AC7+AF7+AI7+AL7+AO7+AR7+AU7+AX7+BA7+BD7+BG7+BJ7+BM7</f>
        <v/>
      </c>
      <c r="BQ7" s="16">
        <f>G7-BP7</f>
        <v/>
      </c>
    </row>
    <row r="8">
      <c r="A8" s="1" t="n"/>
      <c r="B8" s="13" t="inlineStr">
        <is>
          <t>HU-12</t>
        </is>
      </c>
      <c r="C8" s="13" t="inlineStr">
        <is>
          <t>Como un Bombero Encargado de Flota, necesito recibir avisos automáticos de mantenciones por vencer y vencidas, con la finalidad de no depender de revisar el sistema.</t>
        </is>
      </c>
      <c r="D8" s="13" t="inlineStr">
        <is>
          <t>T29 Programar la detección de mantenciones por vencer y vencidas</t>
        </is>
      </c>
      <c r="E8" s="13" t="inlineStr">
        <is>
          <t>Equipo Scrum</t>
        </is>
      </c>
      <c r="F8" s="13" t="inlineStr">
        <is>
          <t>Por iniciar</t>
        </is>
      </c>
      <c r="G8" s="13" t="n">
        <v>3</v>
      </c>
      <c r="H8" s="15" t="n"/>
      <c r="I8" s="15">
        <f>G8-H8</f>
        <v/>
      </c>
      <c r="J8" s="12" t="n"/>
      <c r="K8" s="15" t="n"/>
      <c r="L8" s="15">
        <f>I8-K8</f>
        <v/>
      </c>
      <c r="M8" s="12" t="n"/>
      <c r="N8" s="15" t="n"/>
      <c r="O8" s="15">
        <f>L8-N8</f>
        <v/>
      </c>
      <c r="P8" s="12" t="n"/>
      <c r="Q8" s="15" t="n"/>
      <c r="R8" s="15">
        <f>O8-Q8</f>
        <v/>
      </c>
      <c r="S8" s="12" t="n"/>
      <c r="T8" s="15" t="n"/>
      <c r="U8" s="15">
        <f>R8-T8</f>
        <v/>
      </c>
      <c r="V8" s="12" t="n"/>
      <c r="W8" s="15" t="n"/>
      <c r="X8" s="15">
        <f>U8-W8</f>
        <v/>
      </c>
      <c r="Y8" s="12" t="n"/>
      <c r="Z8" s="15" t="n"/>
      <c r="AA8" s="15">
        <f>X8-Z8</f>
        <v/>
      </c>
      <c r="AB8" s="12" t="n"/>
      <c r="AC8" s="15" t="n"/>
      <c r="AD8" s="15">
        <f>AA8-AC8</f>
        <v/>
      </c>
      <c r="AE8" s="12" t="n"/>
      <c r="AF8" s="15" t="n"/>
      <c r="AG8" s="15">
        <f>AD8-AF8</f>
        <v/>
      </c>
      <c r="AH8" s="12" t="n"/>
      <c r="AI8" s="15" t="n"/>
      <c r="AJ8" s="15">
        <f>AG8-AI8</f>
        <v/>
      </c>
      <c r="AK8" s="12" t="n"/>
      <c r="AL8" s="15" t="n"/>
      <c r="AM8" s="15">
        <f>AJ8-AL8</f>
        <v/>
      </c>
      <c r="AN8" s="12" t="n"/>
      <c r="AO8" s="15" t="n"/>
      <c r="AP8" s="15">
        <f>AM8-AO8</f>
        <v/>
      </c>
      <c r="AQ8" s="12" t="n"/>
      <c r="AR8" s="15" t="n"/>
      <c r="AS8" s="15">
        <f>AP8-AR8</f>
        <v/>
      </c>
      <c r="AT8" s="12" t="n"/>
      <c r="AU8" s="15" t="n"/>
      <c r="AV8" s="15">
        <f>AS8-AU8</f>
        <v/>
      </c>
      <c r="AW8" s="12" t="n"/>
      <c r="AX8" s="15" t="n"/>
      <c r="AY8" s="15">
        <f>AV8-AX8</f>
        <v/>
      </c>
      <c r="AZ8" s="12" t="n"/>
      <c r="BA8" s="15" t="n"/>
      <c r="BB8" s="15">
        <f>AY8-BA8</f>
        <v/>
      </c>
      <c r="BC8" s="12" t="n"/>
      <c r="BD8" s="15" t="n"/>
      <c r="BE8" s="15">
        <f>BB8-BD8</f>
        <v/>
      </c>
      <c r="BF8" s="12" t="n"/>
      <c r="BG8" s="15" t="n"/>
      <c r="BH8" s="15">
        <f>BE8-BG8</f>
        <v/>
      </c>
      <c r="BI8" s="12" t="n"/>
      <c r="BJ8" s="15" t="n"/>
      <c r="BK8" s="15">
        <f>BH8-BJ8</f>
        <v/>
      </c>
      <c r="BL8" s="12" t="n"/>
      <c r="BM8" s="15" t="n"/>
      <c r="BN8" s="15">
        <f>BK8-BM8</f>
        <v/>
      </c>
      <c r="BO8" s="12" t="n"/>
      <c r="BP8" s="16">
        <f>H8+K8+N8+Q8+T8+W8+Z8+AC8+AF8+AI8+AL8+AO8+AR8+AU8+AX8+BA8+BD8+BG8+BJ8+BM8</f>
        <v/>
      </c>
      <c r="BQ8" s="16">
        <f>G8-BP8</f>
        <v/>
      </c>
    </row>
    <row r="9">
      <c r="A9" s="1" t="n"/>
      <c r="B9" s="13" t="inlineStr">
        <is>
          <t>HU-12</t>
        </is>
      </c>
      <c r="C9" s="13" t="inlineStr">
        <is>
          <t>Como un Bombero Encargado de Flota, necesito recibir avisos automáticos de mantenciones por vencer y vencidas, con la finalidad de no depender de revisar el sistema.</t>
        </is>
      </c>
      <c r="D9" s="13" t="inlineStr">
        <is>
          <t>T30 Enviar los avisos por correo o notificación</t>
        </is>
      </c>
      <c r="E9" s="13" t="inlineStr">
        <is>
          <t>Equipo Scrum</t>
        </is>
      </c>
      <c r="F9" s="13" t="inlineStr">
        <is>
          <t>Por iniciar</t>
        </is>
      </c>
      <c r="G9" s="13" t="n">
        <v>3</v>
      </c>
      <c r="H9" s="15" t="n"/>
      <c r="I9" s="15">
        <f>G9-H9</f>
        <v/>
      </c>
      <c r="J9" s="12" t="n"/>
      <c r="K9" s="15" t="n"/>
      <c r="L9" s="15">
        <f>I9-K9</f>
        <v/>
      </c>
      <c r="M9" s="12" t="n"/>
      <c r="N9" s="15" t="n"/>
      <c r="O9" s="15">
        <f>L9-N9</f>
        <v/>
      </c>
      <c r="P9" s="12" t="n"/>
      <c r="Q9" s="15" t="n"/>
      <c r="R9" s="15">
        <f>O9-Q9</f>
        <v/>
      </c>
      <c r="S9" s="12" t="n"/>
      <c r="T9" s="15" t="n"/>
      <c r="U9" s="15">
        <f>R9-T9</f>
        <v/>
      </c>
      <c r="V9" s="12" t="n"/>
      <c r="W9" s="15" t="n"/>
      <c r="X9" s="15">
        <f>U9-W9</f>
        <v/>
      </c>
      <c r="Y9" s="12" t="n"/>
      <c r="Z9" s="15" t="n"/>
      <c r="AA9" s="15">
        <f>X9-Z9</f>
        <v/>
      </c>
      <c r="AB9" s="12" t="n"/>
      <c r="AC9" s="15" t="n"/>
      <c r="AD9" s="15">
        <f>AA9-AC9</f>
        <v/>
      </c>
      <c r="AE9" s="12" t="n"/>
      <c r="AF9" s="15" t="n"/>
      <c r="AG9" s="15">
        <f>AD9-AF9</f>
        <v/>
      </c>
      <c r="AH9" s="12" t="n"/>
      <c r="AI9" s="15" t="n"/>
      <c r="AJ9" s="15">
        <f>AG9-AI9</f>
        <v/>
      </c>
      <c r="AK9" s="12" t="n"/>
      <c r="AL9" s="15" t="n"/>
      <c r="AM9" s="15">
        <f>AJ9-AL9</f>
        <v/>
      </c>
      <c r="AN9" s="12" t="n"/>
      <c r="AO9" s="15" t="n"/>
      <c r="AP9" s="15">
        <f>AM9-AO9</f>
        <v/>
      </c>
      <c r="AQ9" s="12" t="n"/>
      <c r="AR9" s="15" t="n"/>
      <c r="AS9" s="15">
        <f>AP9-AR9</f>
        <v/>
      </c>
      <c r="AT9" s="12" t="n"/>
      <c r="AU9" s="15" t="n"/>
      <c r="AV9" s="15">
        <f>AS9-AU9</f>
        <v/>
      </c>
      <c r="AW9" s="12" t="n"/>
      <c r="AX9" s="15" t="n"/>
      <c r="AY9" s="15">
        <f>AV9-AX9</f>
        <v/>
      </c>
      <c r="AZ9" s="12" t="n"/>
      <c r="BA9" s="15" t="n"/>
      <c r="BB9" s="15">
        <f>AY9-BA9</f>
        <v/>
      </c>
      <c r="BC9" s="12" t="n"/>
      <c r="BD9" s="15" t="n"/>
      <c r="BE9" s="15">
        <f>BB9-BD9</f>
        <v/>
      </c>
      <c r="BF9" s="12" t="n"/>
      <c r="BG9" s="15" t="n"/>
      <c r="BH9" s="15">
        <f>BE9-BG9</f>
        <v/>
      </c>
      <c r="BI9" s="12" t="n"/>
      <c r="BJ9" s="15" t="n"/>
      <c r="BK9" s="15">
        <f>BH9-BJ9</f>
        <v/>
      </c>
      <c r="BL9" s="12" t="n"/>
      <c r="BM9" s="15" t="n"/>
      <c r="BN9" s="15">
        <f>BK9-BM9</f>
        <v/>
      </c>
      <c r="BO9" s="12" t="n"/>
      <c r="BP9" s="16">
        <f>H9+K9+N9+Q9+T9+W9+Z9+AC9+AF9+AI9+AL9+AO9+AR9+AU9+AX9+BA9+BD9+BG9+BJ9+BM9</f>
        <v/>
      </c>
      <c r="BQ9" s="16">
        <f>G9-BP9</f>
        <v/>
      </c>
    </row>
    <row r="10">
      <c r="A10" s="1" t="n"/>
      <c r="B10" s="13" t="inlineStr">
        <is>
          <t>HU-12</t>
        </is>
      </c>
      <c r="C10" s="13" t="inlineStr">
        <is>
          <t>Como un Bombero Encargado de Flota, necesito recibir avisos automáticos de mantenciones por vencer y vencidas, con la finalidad de no depender de revisar el sistema.</t>
        </is>
      </c>
      <c r="D10" s="13" t="inlineStr">
        <is>
          <t>T31 Configurar los destinatarios de los avisos</t>
        </is>
      </c>
      <c r="E10" s="13" t="inlineStr">
        <is>
          <t>Equipo Scrum</t>
        </is>
      </c>
      <c r="F10" s="13" t="inlineStr">
        <is>
          <t>Por iniciar</t>
        </is>
      </c>
      <c r="G10" s="13" t="n">
        <v>2</v>
      </c>
      <c r="H10" s="15" t="n"/>
      <c r="I10" s="15">
        <f>G10-H10</f>
        <v/>
      </c>
      <c r="J10" s="12" t="n"/>
      <c r="K10" s="15" t="n"/>
      <c r="L10" s="15">
        <f>I10-K10</f>
        <v/>
      </c>
      <c r="M10" s="12" t="n"/>
      <c r="N10" s="15" t="n"/>
      <c r="O10" s="15">
        <f>L10-N10</f>
        <v/>
      </c>
      <c r="P10" s="12" t="n"/>
      <c r="Q10" s="15" t="n"/>
      <c r="R10" s="15">
        <f>O10-Q10</f>
        <v/>
      </c>
      <c r="S10" s="12" t="n"/>
      <c r="T10" s="15" t="n"/>
      <c r="U10" s="15">
        <f>R10-T10</f>
        <v/>
      </c>
      <c r="V10" s="12" t="n"/>
      <c r="W10" s="15" t="n"/>
      <c r="X10" s="15">
        <f>U10-W10</f>
        <v/>
      </c>
      <c r="Y10" s="12" t="n"/>
      <c r="Z10" s="15" t="n"/>
      <c r="AA10" s="15">
        <f>X10-Z10</f>
        <v/>
      </c>
      <c r="AB10" s="12" t="n"/>
      <c r="AC10" s="15" t="n"/>
      <c r="AD10" s="15">
        <f>AA10-AC10</f>
        <v/>
      </c>
      <c r="AE10" s="12" t="n"/>
      <c r="AF10" s="15" t="n"/>
      <c r="AG10" s="15">
        <f>AD10-AF10</f>
        <v/>
      </c>
      <c r="AH10" s="12" t="n"/>
      <c r="AI10" s="15" t="n"/>
      <c r="AJ10" s="15">
        <f>AG10-AI10</f>
        <v/>
      </c>
      <c r="AK10" s="12" t="n"/>
      <c r="AL10" s="15" t="n"/>
      <c r="AM10" s="15">
        <f>AJ10-AL10</f>
        <v/>
      </c>
      <c r="AN10" s="12" t="n"/>
      <c r="AO10" s="15" t="n"/>
      <c r="AP10" s="15">
        <f>AM10-AO10</f>
        <v/>
      </c>
      <c r="AQ10" s="12" t="n"/>
      <c r="AR10" s="15" t="n"/>
      <c r="AS10" s="15">
        <f>AP10-AR10</f>
        <v/>
      </c>
      <c r="AT10" s="12" t="n"/>
      <c r="AU10" s="15" t="n"/>
      <c r="AV10" s="15">
        <f>AS10-AU10</f>
        <v/>
      </c>
      <c r="AW10" s="12" t="n"/>
      <c r="AX10" s="15" t="n"/>
      <c r="AY10" s="15">
        <f>AV10-AX10</f>
        <v/>
      </c>
      <c r="AZ10" s="12" t="n"/>
      <c r="BA10" s="15" t="n"/>
      <c r="BB10" s="15">
        <f>AY10-BA10</f>
        <v/>
      </c>
      <c r="BC10" s="12" t="n"/>
      <c r="BD10" s="15" t="n"/>
      <c r="BE10" s="15">
        <f>BB10-BD10</f>
        <v/>
      </c>
      <c r="BF10" s="12" t="n"/>
      <c r="BG10" s="15" t="n"/>
      <c r="BH10" s="15">
        <f>BE10-BG10</f>
        <v/>
      </c>
      <c r="BI10" s="12" t="n"/>
      <c r="BJ10" s="15" t="n"/>
      <c r="BK10" s="15">
        <f>BH10-BJ10</f>
        <v/>
      </c>
      <c r="BL10" s="12" t="n"/>
      <c r="BM10" s="15" t="n"/>
      <c r="BN10" s="15">
        <f>BK10-BM10</f>
        <v/>
      </c>
      <c r="BO10" s="12" t="n"/>
      <c r="BP10" s="16">
        <f>H10+K10+N10+Q10+T10+W10+Z10+AC10+AF10+AI10+AL10+AO10+AR10+AU10+AX10+BA10+BD10+BG10+BJ10+BM10</f>
        <v/>
      </c>
      <c r="BQ10" s="16">
        <f>G10-BP10</f>
        <v/>
      </c>
    </row>
    <row r="11">
      <c r="A11" s="1" t="n"/>
      <c r="B11" s="13" t="inlineStr">
        <is>
          <t>HU-13</t>
        </is>
      </c>
      <c r="C11" s="13" t="inlineStr">
        <is>
          <t>Como equipo de desarrollo, necesitamos probar el sistema web y la app, con la finalidad de detectar y registrar errores antes de la entrega.</t>
        </is>
      </c>
      <c r="D11" s="13" t="inlineStr">
        <is>
          <t>T32 Definir el plan y los casos de prueba</t>
        </is>
      </c>
      <c r="E11" s="13" t="inlineStr">
        <is>
          <t>Equipo Scrum</t>
        </is>
      </c>
      <c r="F11" s="13" t="inlineStr">
        <is>
          <t>Por iniciar</t>
        </is>
      </c>
      <c r="G11" s="13" t="n">
        <v>2</v>
      </c>
      <c r="H11" s="15" t="n"/>
      <c r="I11" s="15">
        <f>G11-H11</f>
        <v/>
      </c>
      <c r="J11" s="12" t="n"/>
      <c r="K11" s="15" t="n"/>
      <c r="L11" s="15">
        <f>I11-K11</f>
        <v/>
      </c>
      <c r="M11" s="12" t="n"/>
      <c r="N11" s="15" t="n"/>
      <c r="O11" s="15">
        <f>L11-N11</f>
        <v/>
      </c>
      <c r="P11" s="12" t="n"/>
      <c r="Q11" s="15" t="n"/>
      <c r="R11" s="15">
        <f>O11-Q11</f>
        <v/>
      </c>
      <c r="S11" s="12" t="n"/>
      <c r="T11" s="15" t="n"/>
      <c r="U11" s="15">
        <f>R11-T11</f>
        <v/>
      </c>
      <c r="V11" s="12" t="n"/>
      <c r="W11" s="15" t="n"/>
      <c r="X11" s="15">
        <f>U11-W11</f>
        <v/>
      </c>
      <c r="Y11" s="12" t="n"/>
      <c r="Z11" s="15" t="n"/>
      <c r="AA11" s="15">
        <f>X11-Z11</f>
        <v/>
      </c>
      <c r="AB11" s="12" t="n"/>
      <c r="AC11" s="15" t="n"/>
      <c r="AD11" s="15">
        <f>AA11-AC11</f>
        <v/>
      </c>
      <c r="AE11" s="12" t="n"/>
      <c r="AF11" s="15" t="n"/>
      <c r="AG11" s="15">
        <f>AD11-AF11</f>
        <v/>
      </c>
      <c r="AH11" s="12" t="n"/>
      <c r="AI11" s="15" t="n"/>
      <c r="AJ11" s="15">
        <f>AG11-AI11</f>
        <v/>
      </c>
      <c r="AK11" s="12" t="n"/>
      <c r="AL11" s="15" t="n"/>
      <c r="AM11" s="15">
        <f>AJ11-AL11</f>
        <v/>
      </c>
      <c r="AN11" s="12" t="n"/>
      <c r="AO11" s="15" t="n"/>
      <c r="AP11" s="15">
        <f>AM11-AO11</f>
        <v/>
      </c>
      <c r="AQ11" s="12" t="n"/>
      <c r="AR11" s="15" t="n"/>
      <c r="AS11" s="15">
        <f>AP11-AR11</f>
        <v/>
      </c>
      <c r="AT11" s="12" t="n"/>
      <c r="AU11" s="15" t="n"/>
      <c r="AV11" s="15">
        <f>AS11-AU11</f>
        <v/>
      </c>
      <c r="AW11" s="12" t="n"/>
      <c r="AX11" s="15" t="n"/>
      <c r="AY11" s="15">
        <f>AV11-AX11</f>
        <v/>
      </c>
      <c r="AZ11" s="12" t="n"/>
      <c r="BA11" s="15" t="n"/>
      <c r="BB11" s="15">
        <f>AY11-BA11</f>
        <v/>
      </c>
      <c r="BC11" s="12" t="n"/>
      <c r="BD11" s="15" t="n"/>
      <c r="BE11" s="15">
        <f>BB11-BD11</f>
        <v/>
      </c>
      <c r="BF11" s="12" t="n"/>
      <c r="BG11" s="15" t="n"/>
      <c r="BH11" s="15">
        <f>BE11-BG11</f>
        <v/>
      </c>
      <c r="BI11" s="12" t="n"/>
      <c r="BJ11" s="15" t="n"/>
      <c r="BK11" s="15">
        <f>BH11-BJ11</f>
        <v/>
      </c>
      <c r="BL11" s="12" t="n"/>
      <c r="BM11" s="15" t="n"/>
      <c r="BN11" s="15">
        <f>BK11-BM11</f>
        <v/>
      </c>
      <c r="BO11" s="12" t="n"/>
      <c r="BP11" s="16">
        <f>H11+K11+N11+Q11+T11+W11+Z11+AC11+AF11+AI11+AL11+AO11+AR11+AU11+AX11+BA11+BD11+BG11+BJ11+BM11</f>
        <v/>
      </c>
      <c r="BQ11" s="16">
        <f>G11-BP11</f>
        <v/>
      </c>
    </row>
    <row r="12">
      <c r="A12" s="1" t="n"/>
      <c r="B12" s="13" t="inlineStr">
        <is>
          <t>HU-13</t>
        </is>
      </c>
      <c r="C12" s="13" t="inlineStr">
        <is>
          <t>Como equipo de desarrollo, necesitamos probar el sistema web y la app, con la finalidad de detectar y registrar errores antes de la entrega.</t>
        </is>
      </c>
      <c r="D12" s="13" t="inlineStr">
        <is>
          <t>T33 Ejecutar las pruebas y registrar los errores encontrados</t>
        </is>
      </c>
      <c r="E12" s="13" t="inlineStr">
        <is>
          <t>Equipo Scrum</t>
        </is>
      </c>
      <c r="F12" s="13" t="inlineStr">
        <is>
          <t>Por iniciar</t>
        </is>
      </c>
      <c r="G12" s="13" t="n">
        <v>4</v>
      </c>
      <c r="H12" s="15" t="n"/>
      <c r="I12" s="15">
        <f>G12-H12</f>
        <v/>
      </c>
      <c r="J12" s="12" t="n"/>
      <c r="K12" s="15" t="n"/>
      <c r="L12" s="15">
        <f>I12-K12</f>
        <v/>
      </c>
      <c r="M12" s="12" t="n"/>
      <c r="N12" s="15" t="n"/>
      <c r="O12" s="15">
        <f>L12-N12</f>
        <v/>
      </c>
      <c r="P12" s="12" t="n"/>
      <c r="Q12" s="15" t="n"/>
      <c r="R12" s="15">
        <f>O12-Q12</f>
        <v/>
      </c>
      <c r="S12" s="12" t="n"/>
      <c r="T12" s="15" t="n"/>
      <c r="U12" s="15">
        <f>R12-T12</f>
        <v/>
      </c>
      <c r="V12" s="12" t="n"/>
      <c r="W12" s="15" t="n"/>
      <c r="X12" s="15">
        <f>U12-W12</f>
        <v/>
      </c>
      <c r="Y12" s="12" t="n"/>
      <c r="Z12" s="15" t="n"/>
      <c r="AA12" s="15">
        <f>X12-Z12</f>
        <v/>
      </c>
      <c r="AB12" s="12" t="n"/>
      <c r="AC12" s="15" t="n"/>
      <c r="AD12" s="15">
        <f>AA12-AC12</f>
        <v/>
      </c>
      <c r="AE12" s="12" t="n"/>
      <c r="AF12" s="15" t="n"/>
      <c r="AG12" s="15">
        <f>AD12-AF12</f>
        <v/>
      </c>
      <c r="AH12" s="12" t="n"/>
      <c r="AI12" s="15" t="n"/>
      <c r="AJ12" s="15">
        <f>AG12-AI12</f>
        <v/>
      </c>
      <c r="AK12" s="12" t="n"/>
      <c r="AL12" s="15" t="n"/>
      <c r="AM12" s="15">
        <f>AJ12-AL12</f>
        <v/>
      </c>
      <c r="AN12" s="12" t="n"/>
      <c r="AO12" s="15" t="n"/>
      <c r="AP12" s="15">
        <f>AM12-AO12</f>
        <v/>
      </c>
      <c r="AQ12" s="12" t="n"/>
      <c r="AR12" s="15" t="n"/>
      <c r="AS12" s="15">
        <f>AP12-AR12</f>
        <v/>
      </c>
      <c r="AT12" s="12" t="n"/>
      <c r="AU12" s="15" t="n"/>
      <c r="AV12" s="15">
        <f>AS12-AU12</f>
        <v/>
      </c>
      <c r="AW12" s="12" t="n"/>
      <c r="AX12" s="15" t="n"/>
      <c r="AY12" s="15">
        <f>AV12-AX12</f>
        <v/>
      </c>
      <c r="AZ12" s="12" t="n"/>
      <c r="BA12" s="15" t="n"/>
      <c r="BB12" s="15">
        <f>AY12-BA12</f>
        <v/>
      </c>
      <c r="BC12" s="12" t="n"/>
      <c r="BD12" s="15" t="n"/>
      <c r="BE12" s="15">
        <f>BB12-BD12</f>
        <v/>
      </c>
      <c r="BF12" s="12" t="n"/>
      <c r="BG12" s="15" t="n"/>
      <c r="BH12" s="15">
        <f>BE12-BG12</f>
        <v/>
      </c>
      <c r="BI12" s="12" t="n"/>
      <c r="BJ12" s="15" t="n"/>
      <c r="BK12" s="15">
        <f>BH12-BJ12</f>
        <v/>
      </c>
      <c r="BL12" s="12" t="n"/>
      <c r="BM12" s="15" t="n"/>
      <c r="BN12" s="15">
        <f>BK12-BM12</f>
        <v/>
      </c>
      <c r="BO12" s="12" t="n"/>
      <c r="BP12" s="16">
        <f>H12+K12+N12+Q12+T12+W12+Z12+AC12+AF12+AI12+AL12+AO12+AR12+AU12+AX12+BA12+BD12+BG12+BJ12+BM12</f>
        <v/>
      </c>
      <c r="BQ12" s="16">
        <f>G12-BP12</f>
        <v/>
      </c>
    </row>
    <row r="13">
      <c r="A13" s="1" t="n"/>
      <c r="B13" s="20" t="inlineStr">
        <is>
          <t>Total</t>
        </is>
      </c>
      <c r="C13" s="20" t="n"/>
      <c r="D13" s="20" t="n"/>
      <c r="E13" s="20" t="n"/>
      <c r="F13" s="20" t="n"/>
      <c r="G13" s="20">
        <f>SUM(G6:G12)</f>
        <v/>
      </c>
      <c r="H13" s="22">
        <f>SUM(H6:H12)</f>
        <v/>
      </c>
      <c r="I13" s="22">
        <f>SUM(I6:I12)</f>
        <v/>
      </c>
      <c r="J13" s="23" t="n"/>
      <c r="K13" s="22">
        <f>SUM(K6:K12)</f>
        <v/>
      </c>
      <c r="L13" s="22">
        <f>SUM(L6:L12)</f>
        <v/>
      </c>
      <c r="M13" s="23" t="n"/>
      <c r="N13" s="22">
        <f>SUM(N6:N12)</f>
        <v/>
      </c>
      <c r="O13" s="22">
        <f>SUM(O6:O12)</f>
        <v/>
      </c>
      <c r="P13" s="23" t="n"/>
      <c r="Q13" s="22">
        <f>SUM(Q6:Q12)</f>
        <v/>
      </c>
      <c r="R13" s="22">
        <f>SUM(R6:R12)</f>
        <v/>
      </c>
      <c r="S13" s="23" t="n"/>
      <c r="T13" s="22">
        <f>SUM(T6:T12)</f>
        <v/>
      </c>
      <c r="U13" s="22">
        <f>SUM(U6:U12)</f>
        <v/>
      </c>
      <c r="V13" s="23" t="n"/>
      <c r="W13" s="22">
        <f>SUM(W6:W12)</f>
        <v/>
      </c>
      <c r="X13" s="22">
        <f>SUM(X6:X12)</f>
        <v/>
      </c>
      <c r="Y13" s="23" t="n"/>
      <c r="Z13" s="22">
        <f>SUM(Z6:Z12)</f>
        <v/>
      </c>
      <c r="AA13" s="22">
        <f>SUM(AA6:AA12)</f>
        <v/>
      </c>
      <c r="AB13" s="23" t="n"/>
      <c r="AC13" s="22">
        <f>SUM(AC6:AC12)</f>
        <v/>
      </c>
      <c r="AD13" s="22">
        <f>SUM(AD6:AD12)</f>
        <v/>
      </c>
      <c r="AE13" s="23" t="n"/>
      <c r="AF13" s="22">
        <f>SUM(AF6:AF12)</f>
        <v/>
      </c>
      <c r="AG13" s="22">
        <f>SUM(AG6:AG12)</f>
        <v/>
      </c>
      <c r="AH13" s="23" t="n"/>
      <c r="AI13" s="22">
        <f>SUM(AI6:AI12)</f>
        <v/>
      </c>
      <c r="AJ13" s="22">
        <f>SUM(AJ6:AJ12)</f>
        <v/>
      </c>
      <c r="AK13" s="23" t="n"/>
      <c r="AL13" s="22" t="n"/>
      <c r="AM13" s="22" t="n"/>
      <c r="AN13" s="23" t="n"/>
      <c r="AO13" s="22" t="n"/>
      <c r="AP13" s="22" t="n"/>
      <c r="AQ13" s="23" t="n"/>
      <c r="AR13" s="22" t="n"/>
      <c r="AS13" s="22" t="n"/>
      <c r="AT13" s="23" t="n"/>
      <c r="AU13" s="22" t="n"/>
      <c r="AV13" s="22" t="n"/>
      <c r="AW13" s="23" t="n"/>
      <c r="AX13" s="22" t="n"/>
      <c r="AY13" s="22" t="n"/>
      <c r="AZ13" s="23" t="n"/>
      <c r="BA13" s="22" t="n"/>
      <c r="BB13" s="22" t="n"/>
      <c r="BC13" s="23" t="n"/>
      <c r="BD13" s="22" t="n"/>
      <c r="BE13" s="22" t="n"/>
      <c r="BF13" s="23" t="n"/>
      <c r="BG13" s="22" t="n"/>
      <c r="BH13" s="22" t="n"/>
      <c r="BI13" s="23" t="n"/>
      <c r="BJ13" s="22" t="n"/>
      <c r="BK13" s="22" t="n"/>
      <c r="BL13" s="23" t="n"/>
      <c r="BM13" s="22" t="n"/>
      <c r="BN13" s="22" t="n"/>
      <c r="BO13" s="23" t="n"/>
      <c r="BP13" s="24">
        <f>SUM(BP6:BP12)</f>
        <v/>
      </c>
      <c r="BQ13" s="24">
        <f>SUM(BQ6:BQ12)</f>
        <v/>
      </c>
    </row>
    <row r="14">
      <c r="A14" s="1" t="n"/>
      <c r="B14" s="13" t="n"/>
      <c r="C14" s="13" t="n"/>
      <c r="D14" s="13" t="n"/>
      <c r="E14" s="13" t="n"/>
      <c r="F14" s="13" t="n"/>
      <c r="G14" s="13" t="n"/>
      <c r="H14" s="15" t="n"/>
      <c r="I14" s="15" t="n"/>
      <c r="J14" s="12" t="n"/>
      <c r="K14" s="15" t="n"/>
      <c r="L14" s="15" t="n"/>
      <c r="M14" s="12" t="n"/>
      <c r="N14" s="15" t="n"/>
      <c r="O14" s="15" t="n"/>
      <c r="P14" s="12" t="n"/>
      <c r="Q14" s="15" t="n"/>
      <c r="R14" s="15" t="n"/>
      <c r="S14" s="12" t="n"/>
      <c r="T14" s="15" t="n"/>
      <c r="U14" s="15" t="n"/>
      <c r="V14" s="12" t="n"/>
      <c r="W14" s="15" t="n"/>
      <c r="X14" s="15" t="n"/>
      <c r="Y14" s="12" t="n"/>
      <c r="Z14" s="15" t="n"/>
      <c r="AA14" s="15" t="n"/>
      <c r="AB14" s="12" t="n"/>
      <c r="AC14" s="15" t="n"/>
      <c r="AD14" s="15" t="n"/>
      <c r="AE14" s="12" t="n"/>
      <c r="AF14" s="15" t="n"/>
      <c r="AG14" s="15" t="n"/>
      <c r="AH14" s="12" t="n"/>
      <c r="AI14" s="15" t="n"/>
      <c r="AJ14" s="15" t="n"/>
      <c r="AK14" s="12" t="n"/>
      <c r="AL14" s="15" t="n"/>
      <c r="AM14" s="15" t="n"/>
      <c r="AN14" s="12" t="n"/>
      <c r="AO14" s="15" t="n"/>
      <c r="AP14" s="15" t="n"/>
      <c r="AQ14" s="12" t="n"/>
      <c r="AR14" s="15" t="n"/>
      <c r="AS14" s="15" t="n"/>
      <c r="AT14" s="12" t="n"/>
      <c r="AU14" s="15" t="n"/>
      <c r="AV14" s="15" t="n"/>
      <c r="AW14" s="12" t="n"/>
      <c r="AX14" s="15" t="n"/>
      <c r="AY14" s="15" t="n"/>
      <c r="AZ14" s="12" t="n"/>
      <c r="BA14" s="15" t="n"/>
      <c r="BB14" s="15" t="n"/>
      <c r="BC14" s="12" t="n"/>
      <c r="BD14" s="15" t="n"/>
      <c r="BE14" s="15" t="n"/>
      <c r="BF14" s="12" t="n"/>
      <c r="BG14" s="15" t="n"/>
      <c r="BH14" s="15" t="n"/>
      <c r="BI14" s="12" t="n"/>
      <c r="BJ14" s="15" t="n"/>
      <c r="BK14" s="15" t="n"/>
      <c r="BL14" s="12" t="n"/>
      <c r="BM14" s="15" t="n"/>
      <c r="BN14" s="15" t="n"/>
      <c r="BO14" s="12" t="n"/>
      <c r="BP14" s="16" t="n"/>
      <c r="BQ14" s="16" t="n"/>
    </row>
    <row r="15">
      <c r="A15" s="1" t="n"/>
      <c r="B15" s="26" t="inlineStr">
        <is>
          <t>Nota: Sprint planificado: tareas sujetas a ajuste en el Sprint Planning.</t>
        </is>
      </c>
      <c r="C15" s="13" t="n"/>
      <c r="D15" s="13" t="n"/>
      <c r="E15" s="13" t="n"/>
      <c r="F15" s="13" t="n"/>
      <c r="G15" s="13" t="n"/>
      <c r="H15" s="15" t="n"/>
      <c r="I15" s="15" t="n"/>
      <c r="J15" s="12" t="n"/>
      <c r="K15" s="15" t="n"/>
      <c r="L15" s="15" t="n"/>
      <c r="M15" s="12" t="n"/>
      <c r="N15" s="15" t="n"/>
      <c r="O15" s="15" t="n"/>
      <c r="P15" s="12" t="n"/>
      <c r="Q15" s="15" t="n"/>
      <c r="R15" s="15" t="n"/>
      <c r="S15" s="12" t="n"/>
      <c r="T15" s="15" t="n"/>
      <c r="U15" s="15" t="n"/>
      <c r="V15" s="12" t="n"/>
      <c r="W15" s="15" t="n"/>
      <c r="X15" s="15" t="n"/>
      <c r="Y15" s="12" t="n"/>
      <c r="Z15" s="15" t="n"/>
      <c r="AA15" s="15" t="n"/>
      <c r="AB15" s="12" t="n"/>
      <c r="AC15" s="15" t="n"/>
      <c r="AD15" s="15" t="n"/>
      <c r="AE15" s="12" t="n"/>
      <c r="AF15" s="15" t="n"/>
      <c r="AG15" s="15" t="n"/>
      <c r="AH15" s="12" t="n"/>
      <c r="AI15" s="15" t="n"/>
      <c r="AJ15" s="15" t="n"/>
      <c r="AK15" s="12" t="n"/>
      <c r="AL15" s="15" t="n"/>
      <c r="AM15" s="15" t="n"/>
      <c r="AN15" s="12" t="n"/>
      <c r="AO15" s="15" t="n"/>
      <c r="AP15" s="15" t="n"/>
      <c r="AQ15" s="12" t="n"/>
      <c r="AR15" s="15" t="n"/>
      <c r="AS15" s="15" t="n"/>
      <c r="AT15" s="12" t="n"/>
      <c r="AU15" s="15" t="n"/>
      <c r="AV15" s="15" t="n"/>
      <c r="AW15" s="12" t="n"/>
      <c r="AX15" s="15" t="n"/>
      <c r="AY15" s="15" t="n"/>
      <c r="AZ15" s="12" t="n"/>
      <c r="BA15" s="15" t="n"/>
      <c r="BB15" s="15" t="n"/>
      <c r="BC15" s="12" t="n"/>
      <c r="BD15" s="15" t="n"/>
      <c r="BE15" s="15" t="n"/>
      <c r="BF15" s="12" t="n"/>
      <c r="BG15" s="15" t="n"/>
      <c r="BH15" s="15" t="n"/>
      <c r="BI15" s="12" t="n"/>
      <c r="BJ15" s="15" t="n"/>
      <c r="BK15" s="15" t="n"/>
      <c r="BL15" s="12" t="n"/>
      <c r="BM15" s="15" t="n"/>
      <c r="BN15" s="15" t="n"/>
      <c r="BO15" s="12" t="n"/>
      <c r="BP15" s="16" t="n"/>
      <c r="BQ15" s="16" t="n"/>
    </row>
    <row r="16">
      <c r="A16" s="1" t="n"/>
      <c r="B16" s="13" t="n"/>
      <c r="C16" s="13" t="n"/>
      <c r="D16" s="13" t="n"/>
      <c r="E16" s="13" t="n"/>
      <c r="F16" s="13" t="n"/>
      <c r="G16" s="13" t="n"/>
      <c r="H16" s="15" t="n"/>
      <c r="I16" s="15" t="n"/>
      <c r="J16" s="12" t="n"/>
      <c r="K16" s="15" t="n"/>
      <c r="L16" s="15" t="n"/>
      <c r="M16" s="12" t="n"/>
      <c r="N16" s="15" t="n"/>
      <c r="O16" s="15" t="n"/>
      <c r="P16" s="12" t="n"/>
      <c r="Q16" s="15" t="n"/>
      <c r="R16" s="15" t="n"/>
      <c r="S16" s="12" t="n"/>
      <c r="T16" s="15" t="n"/>
      <c r="U16" s="15" t="n"/>
      <c r="V16" s="12" t="n"/>
      <c r="W16" s="15" t="n"/>
      <c r="X16" s="15" t="n"/>
      <c r="Y16" s="12" t="n"/>
      <c r="Z16" s="15" t="n"/>
      <c r="AA16" s="15" t="n"/>
      <c r="AB16" s="12" t="n"/>
      <c r="AC16" s="15" t="n"/>
      <c r="AD16" s="15" t="n"/>
      <c r="AE16" s="12" t="n"/>
      <c r="AF16" s="15" t="n"/>
      <c r="AG16" s="15" t="n"/>
      <c r="AH16" s="12" t="n"/>
      <c r="AI16" s="15" t="n"/>
      <c r="AJ16" s="15" t="n"/>
      <c r="AK16" s="12" t="n"/>
      <c r="AL16" s="15" t="n"/>
      <c r="AM16" s="15" t="n"/>
      <c r="AN16" s="12" t="n"/>
      <c r="AO16" s="15" t="n"/>
      <c r="AP16" s="15" t="n"/>
      <c r="AQ16" s="12" t="n"/>
      <c r="AR16" s="15" t="n"/>
      <c r="AS16" s="15" t="n"/>
      <c r="AT16" s="12" t="n"/>
      <c r="AU16" s="15" t="n"/>
      <c r="AV16" s="15" t="n"/>
      <c r="AW16" s="12" t="n"/>
      <c r="AX16" s="15" t="n"/>
      <c r="AY16" s="15" t="n"/>
      <c r="AZ16" s="12" t="n"/>
      <c r="BA16" s="15" t="n"/>
      <c r="BB16" s="15" t="n"/>
      <c r="BC16" s="12" t="n"/>
      <c r="BD16" s="15" t="n"/>
      <c r="BE16" s="15" t="n"/>
      <c r="BF16" s="12" t="n"/>
      <c r="BG16" s="15" t="n"/>
      <c r="BH16" s="15" t="n"/>
      <c r="BI16" s="12" t="n"/>
      <c r="BJ16" s="15" t="n"/>
      <c r="BK16" s="15" t="n"/>
      <c r="BL16" s="12" t="n"/>
      <c r="BM16" s="15" t="n"/>
      <c r="BN16" s="15" t="n"/>
      <c r="BO16" s="12" t="n"/>
      <c r="BP16" s="16" t="n"/>
      <c r="BQ16" s="16" t="n"/>
    </row>
    <row r="17">
      <c r="A17" s="1" t="n"/>
      <c r="B17" s="13" t="n"/>
      <c r="C17" s="13" t="n"/>
      <c r="D17" s="13" t="n"/>
      <c r="E17" s="13" t="n"/>
      <c r="F17" s="13" t="n"/>
      <c r="G17" s="13" t="n"/>
      <c r="H17" s="15" t="n"/>
      <c r="I17" s="15" t="n"/>
      <c r="J17" s="12" t="n"/>
      <c r="K17" s="15" t="n"/>
      <c r="L17" s="15" t="n"/>
      <c r="M17" s="12" t="n"/>
      <c r="N17" s="15" t="n"/>
      <c r="O17" s="15" t="n"/>
      <c r="P17" s="12" t="n"/>
      <c r="Q17" s="15" t="n"/>
      <c r="R17" s="15" t="n"/>
      <c r="S17" s="12" t="n"/>
      <c r="T17" s="15" t="n"/>
      <c r="U17" s="15" t="n"/>
      <c r="V17" s="12" t="n"/>
      <c r="W17" s="15" t="n"/>
      <c r="X17" s="15" t="n"/>
      <c r="Y17" s="12" t="n"/>
      <c r="Z17" s="15" t="n"/>
      <c r="AA17" s="15" t="n"/>
      <c r="AB17" s="12" t="n"/>
      <c r="AC17" s="15" t="n"/>
      <c r="AD17" s="15" t="n"/>
      <c r="AE17" s="12" t="n"/>
      <c r="AF17" s="15" t="n"/>
      <c r="AG17" s="15" t="n"/>
      <c r="AH17" s="12" t="n"/>
      <c r="AI17" s="15" t="n"/>
      <c r="AJ17" s="15" t="n"/>
      <c r="AK17" s="12" t="n"/>
      <c r="AL17" s="15" t="n"/>
      <c r="AM17" s="15" t="n"/>
      <c r="AN17" s="12" t="n"/>
      <c r="AO17" s="15" t="n"/>
      <c r="AP17" s="15" t="n"/>
      <c r="AQ17" s="12" t="n"/>
      <c r="AR17" s="15" t="n"/>
      <c r="AS17" s="15" t="n"/>
      <c r="AT17" s="12" t="n"/>
      <c r="AU17" s="15" t="n"/>
      <c r="AV17" s="15" t="n"/>
      <c r="AW17" s="12" t="n"/>
      <c r="AX17" s="15" t="n"/>
      <c r="AY17" s="15" t="n"/>
      <c r="AZ17" s="12" t="n"/>
      <c r="BA17" s="15" t="n"/>
      <c r="BB17" s="15" t="n"/>
      <c r="BC17" s="12" t="n"/>
      <c r="BD17" s="15" t="n"/>
      <c r="BE17" s="15" t="n"/>
      <c r="BF17" s="12" t="n"/>
      <c r="BG17" s="15" t="n"/>
      <c r="BH17" s="15" t="n"/>
      <c r="BI17" s="12" t="n"/>
      <c r="BJ17" s="15" t="n"/>
      <c r="BK17" s="15" t="n"/>
      <c r="BL17" s="12" t="n"/>
      <c r="BM17" s="15" t="n"/>
      <c r="BN17" s="15" t="n"/>
      <c r="BO17" s="12" t="n"/>
      <c r="BP17" s="16" t="n"/>
      <c r="BQ17" s="16"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c r="BH18" s="1" t="n"/>
      <c r="BI18" s="1" t="n"/>
      <c r="BJ18" s="1" t="n"/>
      <c r="BK18" s="1" t="n"/>
      <c r="BL18" s="1" t="n"/>
      <c r="BM18" s="1" t="n"/>
      <c r="BN18" s="1" t="n"/>
      <c r="BO18" s="1" t="n"/>
      <c r="BP18" s="1" t="n"/>
      <c r="BQ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c r="BH19" s="1" t="n"/>
      <c r="BI19" s="1" t="n"/>
      <c r="BJ19" s="1" t="n"/>
      <c r="BK19" s="1" t="n"/>
      <c r="BL19" s="1" t="n"/>
      <c r="BM19" s="1" t="n"/>
      <c r="BN19" s="1" t="n"/>
      <c r="BO19" s="1" t="n"/>
      <c r="BP19" s="1" t="n"/>
      <c r="BQ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c r="BH20" s="1" t="n"/>
      <c r="BI20" s="1" t="n"/>
      <c r="BJ20" s="1" t="n"/>
      <c r="BK20" s="1" t="n"/>
      <c r="BL20" s="1" t="n"/>
      <c r="BM20" s="1" t="n"/>
      <c r="BN20" s="1" t="n"/>
      <c r="BO20" s="1" t="n"/>
      <c r="BP20" s="1" t="n"/>
      <c r="BQ20" s="1" t="n"/>
    </row>
    <row r="21" ht="15.75" customHeight="1" s="1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row>
    <row r="22" ht="15.75" customHeight="1" s="1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row>
    <row r="23" ht="15.75" customHeight="1" s="1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row>
    <row r="24" ht="15.75" customHeight="1" s="1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21">
    <mergeCell ref="W4:X4"/>
    <mergeCell ref="AX4:AY4"/>
    <mergeCell ref="BJ4:BK4"/>
    <mergeCell ref="H4:I4"/>
    <mergeCell ref="AU4:AV4"/>
    <mergeCell ref="T4:U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BQ1000"/>
  <sheetViews>
    <sheetView tabSelected="0" workbookViewId="0">
      <selection activeCell="A1" sqref="A1"/>
    </sheetView>
  </sheetViews>
  <sheetFormatPr baseColWidth="8" defaultColWidth="12.63" defaultRowHeight="15" customHeight="1"/>
  <cols>
    <col width="1.25" customWidth="1" style="18" min="1" max="1"/>
    <col width="14.38" customWidth="1" style="18" min="2" max="2"/>
    <col width="29.75" customWidth="1" style="18" min="3" max="3"/>
    <col width="18.25"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 width="2.38" customWidth="1" style="18" min="25" max="25"/>
    <col width="5.13" customWidth="1" style="18" min="26" max="26"/>
    <col width="4.75" customWidth="1" style="18" min="27" max="27"/>
    <col width="2.38" customWidth="1" style="18" min="28" max="28"/>
    <col width="5.13" customWidth="1" style="18" min="29" max="29"/>
    <col width="4.75" customWidth="1" style="18" min="30" max="30"/>
    <col width="2.38" customWidth="1" style="18" min="31" max="31"/>
    <col width="5.13" customWidth="1" style="18" min="32" max="32"/>
    <col width="4.75" customWidth="1" style="18" min="33" max="33"/>
    <col width="2.38" customWidth="1" style="18" min="34" max="34"/>
    <col width="5.13" customWidth="1" style="18" min="35" max="35"/>
    <col width="4.75" customWidth="1" style="18" min="36" max="36"/>
    <col width="2.38" customWidth="1" style="18" min="37" max="37"/>
    <col width="5.13" customWidth="1" style="18" min="38" max="38"/>
    <col width="4.75" customWidth="1" style="18" min="39" max="39"/>
    <col width="2.38" customWidth="1" style="18" min="40" max="40"/>
    <col width="5.13" customWidth="1" style="18" min="41" max="41"/>
    <col width="4.75" customWidth="1" style="18" min="42" max="42"/>
    <col width="2.38" customWidth="1" style="18" min="43" max="43"/>
    <col width="5.13" customWidth="1" style="18" min="44" max="44"/>
    <col width="4.75" customWidth="1" style="18" min="45" max="45"/>
    <col width="2.38" customWidth="1" style="18" min="46" max="46"/>
    <col width="5.13" customWidth="1" style="18" min="47" max="47"/>
    <col width="4.75" customWidth="1" style="18" min="48" max="48"/>
    <col width="2.38" customWidth="1" style="18" min="49" max="49"/>
    <col width="5.13" customWidth="1" style="18" min="50" max="50"/>
    <col width="4.75" customWidth="1" style="18" min="51" max="51"/>
    <col width="2.38" customWidth="1" style="18" min="52" max="52"/>
    <col width="5.13" customWidth="1" style="18" min="53" max="53"/>
    <col width="4.75" customWidth="1" style="18" min="54" max="54"/>
    <col width="2.38" customWidth="1" style="18" min="55" max="55"/>
    <col width="5.13" customWidth="1" style="18" min="56" max="56"/>
    <col width="4.75" customWidth="1" style="18" min="57" max="57"/>
    <col width="2.38" customWidth="1" style="18" min="58" max="58"/>
    <col width="5.13" customWidth="1" style="18" min="59" max="59"/>
    <col width="4.75" customWidth="1" style="18" min="60" max="60"/>
    <col width="2.38" customWidth="1" style="18" min="61" max="61"/>
    <col width="5.13" customWidth="1" style="18" min="62" max="62"/>
    <col width="4.75" customWidth="1" style="18" min="63" max="63"/>
    <col width="2.38" customWidth="1" style="18" min="64" max="64"/>
    <col width="5.13" customWidth="1" style="18" min="65" max="65"/>
    <col width="4.75" customWidth="1" style="18" min="66" max="66"/>
    <col width="2.38" customWidth="1" style="18" min="67" max="67"/>
    <col width="5.13" customWidth="1" style="18" min="68" max="68"/>
    <col width="4.75" customWidth="1" style="18"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 – FireFleet – Sprint 5: 17/11/2026 al 30/11/2026</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c r="A4" s="1" t="n"/>
      <c r="B4" s="1" t="n"/>
      <c r="C4" s="1" t="n"/>
      <c r="D4" s="1" t="n"/>
      <c r="E4" s="1" t="n"/>
      <c r="F4" s="1" t="n"/>
      <c r="G4" s="1" t="n"/>
      <c r="H4" s="9" t="inlineStr">
        <is>
          <t>Día 1 (17/11)</t>
        </is>
      </c>
      <c r="I4" s="19" t="n"/>
      <c r="J4" s="8" t="n"/>
      <c r="K4" s="9" t="inlineStr">
        <is>
          <t>Día 2 (18/11)</t>
        </is>
      </c>
      <c r="L4" s="19" t="n"/>
      <c r="M4" s="8" t="n"/>
      <c r="N4" s="9" t="inlineStr">
        <is>
          <t>Día 3 (19/11)</t>
        </is>
      </c>
      <c r="O4" s="19" t="n"/>
      <c r="P4" s="8" t="n"/>
      <c r="Q4" s="9" t="inlineStr">
        <is>
          <t>Día 4 (20/11)</t>
        </is>
      </c>
      <c r="R4" s="19" t="n"/>
      <c r="S4" s="8" t="n"/>
      <c r="T4" s="9" t="inlineStr">
        <is>
          <t>Día 5 (23/11)</t>
        </is>
      </c>
      <c r="U4" s="19" t="n"/>
      <c r="V4" s="8" t="n"/>
      <c r="W4" s="9" t="inlineStr">
        <is>
          <t>Día 6 (24/11)</t>
        </is>
      </c>
      <c r="X4" s="19" t="n"/>
      <c r="Y4" s="8" t="n"/>
      <c r="Z4" s="9" t="inlineStr">
        <is>
          <t>Día 7 (25/11)</t>
        </is>
      </c>
      <c r="AA4" s="19" t="n"/>
      <c r="AB4" s="8" t="n"/>
      <c r="AC4" s="9" t="inlineStr">
        <is>
          <t>Día 8 (26/11)</t>
        </is>
      </c>
      <c r="AD4" s="19" t="n"/>
      <c r="AE4" s="8" t="n"/>
      <c r="AF4" s="9" t="inlineStr">
        <is>
          <t>Día 9 (27/11)</t>
        </is>
      </c>
      <c r="AG4" s="19" t="n"/>
      <c r="AH4" s="8" t="n"/>
      <c r="AI4" s="9" t="inlineStr">
        <is>
          <t>Día 10 (30/11)</t>
        </is>
      </c>
      <c r="AJ4" s="19" t="n"/>
      <c r="AK4" s="8" t="n"/>
      <c r="AL4" s="9" t="n"/>
      <c r="AM4" s="19" t="n"/>
      <c r="AN4" s="8" t="n"/>
      <c r="AO4" s="9" t="n"/>
      <c r="AP4" s="19" t="n"/>
      <c r="AQ4" s="8" t="n"/>
      <c r="AR4" s="9" t="n"/>
      <c r="AS4" s="19" t="n"/>
      <c r="AT4" s="8" t="n"/>
      <c r="AU4" s="9" t="n"/>
      <c r="AV4" s="19" t="n"/>
      <c r="AW4" s="8" t="n"/>
      <c r="AX4" s="9" t="n"/>
      <c r="AY4" s="19" t="n"/>
      <c r="AZ4" s="8" t="n"/>
      <c r="BA4" s="9" t="n"/>
      <c r="BB4" s="19" t="n"/>
      <c r="BC4" s="8" t="n"/>
      <c r="BD4" s="9" t="n"/>
      <c r="BE4" s="19" t="n"/>
      <c r="BF4" s="8" t="n"/>
      <c r="BG4" s="9" t="n"/>
      <c r="BH4" s="19" t="n"/>
      <c r="BI4" s="8" t="n"/>
      <c r="BJ4" s="9" t="n"/>
      <c r="BK4" s="19" t="n"/>
      <c r="BL4" s="8" t="n"/>
      <c r="BM4" s="9" t="n"/>
      <c r="BN4" s="19" t="n"/>
      <c r="BO4" s="8" t="n"/>
      <c r="BP4" s="9" t="inlineStr">
        <is>
          <t>Total</t>
        </is>
      </c>
      <c r="BQ4" s="19" t="n"/>
    </row>
    <row r="5">
      <c r="A5" s="1" t="n"/>
      <c r="B5" s="9" t="inlineStr">
        <is>
          <t>Identificador (ID) de item de product backlog</t>
        </is>
      </c>
      <c r="C5" s="9" t="inlineStr">
        <is>
          <t>Enunciado del item de Product Backlog</t>
        </is>
      </c>
      <c r="D5" s="9" t="inlineStr">
        <is>
          <t>Tarea</t>
        </is>
      </c>
      <c r="E5" s="9" t="inlineStr">
        <is>
          <t>Dueño / Voluntario</t>
        </is>
      </c>
      <c r="F5" s="9" t="inlineStr">
        <is>
          <t>Estatus</t>
        </is>
      </c>
      <c r="G5" s="9" t="inlineStr">
        <is>
          <t>Horas estimadas totales</t>
        </is>
      </c>
      <c r="H5" s="10" t="inlineStr">
        <is>
          <t>Cons.</t>
        </is>
      </c>
      <c r="I5" s="10" t="inlineStr">
        <is>
          <t>Rest.</t>
        </is>
      </c>
      <c r="J5" s="10" t="n"/>
      <c r="K5" s="10" t="inlineStr">
        <is>
          <t>Cons.</t>
        </is>
      </c>
      <c r="L5" s="10" t="inlineStr">
        <is>
          <t>Rest.</t>
        </is>
      </c>
      <c r="M5" s="10" t="n"/>
      <c r="N5" s="10" t="inlineStr">
        <is>
          <t>Cons.</t>
        </is>
      </c>
      <c r="O5" s="10" t="inlineStr">
        <is>
          <t>Rest.</t>
        </is>
      </c>
      <c r="P5" s="10" t="n"/>
      <c r="Q5" s="10" t="inlineStr">
        <is>
          <t>Cons.</t>
        </is>
      </c>
      <c r="R5" s="10" t="inlineStr">
        <is>
          <t>Rest.</t>
        </is>
      </c>
      <c r="S5" s="10" t="n"/>
      <c r="T5" s="10" t="inlineStr">
        <is>
          <t>Cons.</t>
        </is>
      </c>
      <c r="U5" s="10" t="inlineStr">
        <is>
          <t>Rest.</t>
        </is>
      </c>
      <c r="V5" s="10" t="n"/>
      <c r="W5" s="10" t="inlineStr">
        <is>
          <t>Cons.</t>
        </is>
      </c>
      <c r="X5" s="10" t="inlineStr">
        <is>
          <t>Rest.</t>
        </is>
      </c>
      <c r="Y5" s="10" t="n"/>
      <c r="Z5" s="10" t="inlineStr">
        <is>
          <t>Cons.</t>
        </is>
      </c>
      <c r="AA5" s="10" t="inlineStr">
        <is>
          <t>Rest.</t>
        </is>
      </c>
      <c r="AB5" s="10" t="n"/>
      <c r="AC5" s="10" t="inlineStr">
        <is>
          <t>Cons.</t>
        </is>
      </c>
      <c r="AD5" s="10" t="inlineStr">
        <is>
          <t>Rest.</t>
        </is>
      </c>
      <c r="AE5" s="10" t="n"/>
      <c r="AF5" s="10" t="inlineStr">
        <is>
          <t>Cons.</t>
        </is>
      </c>
      <c r="AG5" s="10" t="inlineStr">
        <is>
          <t>Rest.</t>
        </is>
      </c>
      <c r="AH5" s="10" t="n"/>
      <c r="AI5" s="10" t="inlineStr">
        <is>
          <t>Cons.</t>
        </is>
      </c>
      <c r="AJ5" s="10" t="inlineStr">
        <is>
          <t>Rest.</t>
        </is>
      </c>
      <c r="AK5" s="10" t="n"/>
      <c r="AL5" s="10" t="inlineStr">
        <is>
          <t>Cons.</t>
        </is>
      </c>
      <c r="AM5" s="10" t="inlineStr">
        <is>
          <t>Rest.</t>
        </is>
      </c>
      <c r="AN5" s="10" t="n"/>
      <c r="AO5" s="10" t="inlineStr">
        <is>
          <t>Cons.</t>
        </is>
      </c>
      <c r="AP5" s="10" t="inlineStr">
        <is>
          <t>Rest.</t>
        </is>
      </c>
      <c r="AQ5" s="10" t="n"/>
      <c r="AR5" s="10" t="inlineStr">
        <is>
          <t>Cons.</t>
        </is>
      </c>
      <c r="AS5" s="10" t="inlineStr">
        <is>
          <t>Rest.</t>
        </is>
      </c>
      <c r="AT5" s="10" t="n"/>
      <c r="AU5" s="10" t="inlineStr">
        <is>
          <t>Cons.</t>
        </is>
      </c>
      <c r="AV5" s="10" t="inlineStr">
        <is>
          <t>Rest.</t>
        </is>
      </c>
      <c r="AW5" s="10" t="n"/>
      <c r="AX5" s="10" t="inlineStr">
        <is>
          <t>Cons.</t>
        </is>
      </c>
      <c r="AY5" s="10" t="inlineStr">
        <is>
          <t>Rest.</t>
        </is>
      </c>
      <c r="AZ5" s="10" t="n"/>
      <c r="BA5" s="10" t="inlineStr">
        <is>
          <t>Cons.</t>
        </is>
      </c>
      <c r="BB5" s="10" t="inlineStr">
        <is>
          <t>Rest.</t>
        </is>
      </c>
      <c r="BC5" s="10" t="n"/>
      <c r="BD5" s="10" t="inlineStr">
        <is>
          <t>Cons.</t>
        </is>
      </c>
      <c r="BE5" s="10" t="inlineStr">
        <is>
          <t>Rest.</t>
        </is>
      </c>
      <c r="BF5" s="10" t="n"/>
      <c r="BG5" s="10" t="inlineStr">
        <is>
          <t>Cons.</t>
        </is>
      </c>
      <c r="BH5" s="10" t="inlineStr">
        <is>
          <t>Rest.</t>
        </is>
      </c>
      <c r="BI5" s="10" t="n"/>
      <c r="BJ5" s="10" t="inlineStr">
        <is>
          <t>Cons.</t>
        </is>
      </c>
      <c r="BK5" s="10" t="inlineStr">
        <is>
          <t>Rest.</t>
        </is>
      </c>
      <c r="BL5" s="10" t="n"/>
      <c r="BM5" s="10" t="inlineStr">
        <is>
          <t>Cons.</t>
        </is>
      </c>
      <c r="BN5" s="10" t="inlineStr">
        <is>
          <t>Rest.</t>
        </is>
      </c>
      <c r="BO5" s="10" t="n"/>
      <c r="BP5" s="10" t="inlineStr">
        <is>
          <t>Cons.</t>
        </is>
      </c>
      <c r="BQ5" s="10" t="inlineStr">
        <is>
          <t>Rest.</t>
        </is>
      </c>
    </row>
    <row r="6">
      <c r="A6" s="1" t="n"/>
      <c r="B6" s="13" t="inlineStr">
        <is>
          <t>HU-14</t>
        </is>
      </c>
      <c r="C6" s="13" t="inlineStr">
        <is>
          <t>Como un usuario del sistema, necesito un manual de uso de la web y de la app, con la finalidad de aprender a usar FireFleet sin asistencia.</t>
        </is>
      </c>
      <c r="D6" s="13" t="inlineStr">
        <is>
          <t>T34 Redactar el manual de usuario de la aplicación web</t>
        </is>
      </c>
      <c r="E6" s="13" t="inlineStr">
        <is>
          <t>Equipo Scrum</t>
        </is>
      </c>
      <c r="F6" s="13" t="inlineStr">
        <is>
          <t>Por iniciar</t>
        </is>
      </c>
      <c r="G6" s="13" t="n">
        <v>3</v>
      </c>
      <c r="H6" s="15" t="n"/>
      <c r="I6" s="15">
        <f>G6-H6</f>
        <v/>
      </c>
      <c r="J6" s="12" t="n"/>
      <c r="K6" s="15" t="n"/>
      <c r="L6" s="15">
        <f>I6-K6</f>
        <v/>
      </c>
      <c r="M6" s="12" t="n"/>
      <c r="N6" s="15" t="n"/>
      <c r="O6" s="15">
        <f>L6-N6</f>
        <v/>
      </c>
      <c r="P6" s="12" t="n"/>
      <c r="Q6" s="15" t="n"/>
      <c r="R6" s="15">
        <f>O6-Q6</f>
        <v/>
      </c>
      <c r="S6" s="12" t="n"/>
      <c r="T6" s="15" t="n"/>
      <c r="U6" s="15">
        <f>R6-T6</f>
        <v/>
      </c>
      <c r="V6" s="12" t="n"/>
      <c r="W6" s="15" t="n"/>
      <c r="X6" s="15">
        <f>U6-W6</f>
        <v/>
      </c>
      <c r="Y6" s="12" t="n"/>
      <c r="Z6" s="15" t="n"/>
      <c r="AA6" s="15">
        <f>X6-Z6</f>
        <v/>
      </c>
      <c r="AB6" s="12" t="n"/>
      <c r="AC6" s="15" t="n"/>
      <c r="AD6" s="15">
        <f>AA6-AC6</f>
        <v/>
      </c>
      <c r="AE6" s="12" t="n"/>
      <c r="AF6" s="15" t="n"/>
      <c r="AG6" s="15">
        <f>AD6-AF6</f>
        <v/>
      </c>
      <c r="AH6" s="12" t="n"/>
      <c r="AI6" s="15" t="n"/>
      <c r="AJ6" s="15">
        <f>AG6-AI6</f>
        <v/>
      </c>
      <c r="AK6" s="12" t="n"/>
      <c r="AL6" s="15" t="n"/>
      <c r="AM6" s="15">
        <f>AJ6-AL6</f>
        <v/>
      </c>
      <c r="AN6" s="12" t="n"/>
      <c r="AO6" s="15" t="n"/>
      <c r="AP6" s="15">
        <f>AM6-AO6</f>
        <v/>
      </c>
      <c r="AQ6" s="12" t="n"/>
      <c r="AR6" s="15" t="n"/>
      <c r="AS6" s="15">
        <f>AP6-AR6</f>
        <v/>
      </c>
      <c r="AT6" s="12" t="n"/>
      <c r="AU6" s="15" t="n"/>
      <c r="AV6" s="15">
        <f>AS6-AU6</f>
        <v/>
      </c>
      <c r="AW6" s="12" t="n"/>
      <c r="AX6" s="15" t="n"/>
      <c r="AY6" s="15">
        <f>AV6-AX6</f>
        <v/>
      </c>
      <c r="AZ6" s="12" t="n"/>
      <c r="BA6" s="15" t="n"/>
      <c r="BB6" s="15">
        <f>AY6-BA6</f>
        <v/>
      </c>
      <c r="BC6" s="12" t="n"/>
      <c r="BD6" s="15" t="n"/>
      <c r="BE6" s="15">
        <f>BB6-BD6</f>
        <v/>
      </c>
      <c r="BF6" s="12" t="n"/>
      <c r="BG6" s="15" t="n"/>
      <c r="BH6" s="15">
        <f>BE6-BG6</f>
        <v/>
      </c>
      <c r="BI6" s="12" t="n"/>
      <c r="BJ6" s="15" t="n"/>
      <c r="BK6" s="15">
        <f>BH6-BJ6</f>
        <v/>
      </c>
      <c r="BL6" s="12" t="n"/>
      <c r="BM6" s="15" t="n"/>
      <c r="BN6" s="15">
        <f>BK6-BM6</f>
        <v/>
      </c>
      <c r="BO6" s="12" t="n"/>
      <c r="BP6" s="16">
        <f>H6+K6+N6+Q6+T6+W6+Z6+AC6+AF6+AI6+AL6+AO6+AR6+AU6+AX6+BA6+BD6+BG6+BJ6+BM6</f>
        <v/>
      </c>
      <c r="BQ6" s="16">
        <f>G6-BP6</f>
        <v/>
      </c>
    </row>
    <row r="7">
      <c r="A7" s="1" t="n"/>
      <c r="B7" s="13" t="inlineStr">
        <is>
          <t>HU-14</t>
        </is>
      </c>
      <c r="C7" s="13" t="inlineStr">
        <is>
          <t>Como un usuario del sistema, necesito un manual de uso de la web y de la app, con la finalidad de aprender a usar FireFleet sin asistencia.</t>
        </is>
      </c>
      <c r="D7" s="13" t="inlineStr">
        <is>
          <t>T35 Redactar el manual de usuario de la app móvil</t>
        </is>
      </c>
      <c r="E7" s="13" t="inlineStr">
        <is>
          <t>Equipo Scrum</t>
        </is>
      </c>
      <c r="F7" s="13" t="inlineStr">
        <is>
          <t>Por iniciar</t>
        </is>
      </c>
      <c r="G7" s="13" t="n">
        <v>3</v>
      </c>
      <c r="H7" s="15" t="n"/>
      <c r="I7" s="15">
        <f>G7-H7</f>
        <v/>
      </c>
      <c r="J7" s="12" t="n"/>
      <c r="K7" s="15" t="n"/>
      <c r="L7" s="15">
        <f>I7-K7</f>
        <v/>
      </c>
      <c r="M7" s="12" t="n"/>
      <c r="N7" s="15" t="n"/>
      <c r="O7" s="15">
        <f>L7-N7</f>
        <v/>
      </c>
      <c r="P7" s="12" t="n"/>
      <c r="Q7" s="15" t="n"/>
      <c r="R7" s="15">
        <f>O7-Q7</f>
        <v/>
      </c>
      <c r="S7" s="12" t="n"/>
      <c r="T7" s="15" t="n"/>
      <c r="U7" s="15">
        <f>R7-T7</f>
        <v/>
      </c>
      <c r="V7" s="12" t="n"/>
      <c r="W7" s="15" t="n"/>
      <c r="X7" s="15">
        <f>U7-W7</f>
        <v/>
      </c>
      <c r="Y7" s="12" t="n"/>
      <c r="Z7" s="15" t="n"/>
      <c r="AA7" s="15">
        <f>X7-Z7</f>
        <v/>
      </c>
      <c r="AB7" s="12" t="n"/>
      <c r="AC7" s="15" t="n"/>
      <c r="AD7" s="15">
        <f>AA7-AC7</f>
        <v/>
      </c>
      <c r="AE7" s="12" t="n"/>
      <c r="AF7" s="15" t="n"/>
      <c r="AG7" s="15">
        <f>AD7-AF7</f>
        <v/>
      </c>
      <c r="AH7" s="12" t="n"/>
      <c r="AI7" s="15" t="n"/>
      <c r="AJ7" s="15">
        <f>AG7-AI7</f>
        <v/>
      </c>
      <c r="AK7" s="12" t="n"/>
      <c r="AL7" s="15" t="n"/>
      <c r="AM7" s="15">
        <f>AJ7-AL7</f>
        <v/>
      </c>
      <c r="AN7" s="12" t="n"/>
      <c r="AO7" s="15" t="n"/>
      <c r="AP7" s="15">
        <f>AM7-AO7</f>
        <v/>
      </c>
      <c r="AQ7" s="12" t="n"/>
      <c r="AR7" s="15" t="n"/>
      <c r="AS7" s="15">
        <f>AP7-AR7</f>
        <v/>
      </c>
      <c r="AT7" s="12" t="n"/>
      <c r="AU7" s="15" t="n"/>
      <c r="AV7" s="15">
        <f>AS7-AU7</f>
        <v/>
      </c>
      <c r="AW7" s="12" t="n"/>
      <c r="AX7" s="15" t="n"/>
      <c r="AY7" s="15">
        <f>AV7-AX7</f>
        <v/>
      </c>
      <c r="AZ7" s="12" t="n"/>
      <c r="BA7" s="15" t="n"/>
      <c r="BB7" s="15">
        <f>AY7-BA7</f>
        <v/>
      </c>
      <c r="BC7" s="12" t="n"/>
      <c r="BD7" s="15" t="n"/>
      <c r="BE7" s="15">
        <f>BB7-BD7</f>
        <v/>
      </c>
      <c r="BF7" s="12" t="n"/>
      <c r="BG7" s="15" t="n"/>
      <c r="BH7" s="15">
        <f>BE7-BG7</f>
        <v/>
      </c>
      <c r="BI7" s="12" t="n"/>
      <c r="BJ7" s="15" t="n"/>
      <c r="BK7" s="15">
        <f>BH7-BJ7</f>
        <v/>
      </c>
      <c r="BL7" s="12" t="n"/>
      <c r="BM7" s="15" t="n"/>
      <c r="BN7" s="15">
        <f>BK7-BM7</f>
        <v/>
      </c>
      <c r="BO7" s="12" t="n"/>
      <c r="BP7" s="16">
        <f>H7+K7+N7+Q7+T7+W7+Z7+AC7+AF7+AI7+AL7+AO7+AR7+AU7+AX7+BA7+BD7+BG7+BJ7+BM7</f>
        <v/>
      </c>
      <c r="BQ7" s="16">
        <f>G7-BP7</f>
        <v/>
      </c>
    </row>
    <row r="8">
      <c r="A8" s="1" t="n"/>
      <c r="B8" s="13" t="inlineStr">
        <is>
          <t>HU-15</t>
        </is>
      </c>
      <c r="C8" s="13" t="inlineStr">
        <is>
          <t>Como Product Owner, necesito que se corrijan los errores menores detectados en las pruebas, con la finalidad de recibir un sistema estable.</t>
        </is>
      </c>
      <c r="D8" s="13" t="inlineStr">
        <is>
          <t>T36 Corregir los errores menores registrados en las pruebas y agregar la validación de patente duplicada al registro de vehículos</t>
        </is>
      </c>
      <c r="E8" s="13" t="inlineStr">
        <is>
          <t>Equipo Scrum</t>
        </is>
      </c>
      <c r="F8" s="13" t="inlineStr">
        <is>
          <t>Por iniciar</t>
        </is>
      </c>
      <c r="G8" s="13" t="n">
        <v>3</v>
      </c>
      <c r="H8" s="15" t="n"/>
      <c r="I8" s="15">
        <f>G8-H8</f>
        <v/>
      </c>
      <c r="J8" s="12" t="n"/>
      <c r="K8" s="15" t="n"/>
      <c r="L8" s="15">
        <f>I8-K8</f>
        <v/>
      </c>
      <c r="M8" s="12" t="n"/>
      <c r="N8" s="15" t="n"/>
      <c r="O8" s="15">
        <f>L8-N8</f>
        <v/>
      </c>
      <c r="P8" s="12" t="n"/>
      <c r="Q8" s="15" t="n"/>
      <c r="R8" s="15">
        <f>O8-Q8</f>
        <v/>
      </c>
      <c r="S8" s="12" t="n"/>
      <c r="T8" s="15" t="n"/>
      <c r="U8" s="15">
        <f>R8-T8</f>
        <v/>
      </c>
      <c r="V8" s="12" t="n"/>
      <c r="W8" s="15" t="n"/>
      <c r="X8" s="15">
        <f>U8-W8</f>
        <v/>
      </c>
      <c r="Y8" s="12" t="n"/>
      <c r="Z8" s="15" t="n"/>
      <c r="AA8" s="15">
        <f>X8-Z8</f>
        <v/>
      </c>
      <c r="AB8" s="12" t="n"/>
      <c r="AC8" s="15" t="n"/>
      <c r="AD8" s="15">
        <f>AA8-AC8</f>
        <v/>
      </c>
      <c r="AE8" s="12" t="n"/>
      <c r="AF8" s="15" t="n"/>
      <c r="AG8" s="15">
        <f>AD8-AF8</f>
        <v/>
      </c>
      <c r="AH8" s="12" t="n"/>
      <c r="AI8" s="15" t="n"/>
      <c r="AJ8" s="15">
        <f>AG8-AI8</f>
        <v/>
      </c>
      <c r="AK8" s="12" t="n"/>
      <c r="AL8" s="15" t="n"/>
      <c r="AM8" s="15">
        <f>AJ8-AL8</f>
        <v/>
      </c>
      <c r="AN8" s="12" t="n"/>
      <c r="AO8" s="15" t="n"/>
      <c r="AP8" s="15">
        <f>AM8-AO8</f>
        <v/>
      </c>
      <c r="AQ8" s="12" t="n"/>
      <c r="AR8" s="15" t="n"/>
      <c r="AS8" s="15">
        <f>AP8-AR8</f>
        <v/>
      </c>
      <c r="AT8" s="12" t="n"/>
      <c r="AU8" s="15" t="n"/>
      <c r="AV8" s="15">
        <f>AS8-AU8</f>
        <v/>
      </c>
      <c r="AW8" s="12" t="n"/>
      <c r="AX8" s="15" t="n"/>
      <c r="AY8" s="15">
        <f>AV8-AX8</f>
        <v/>
      </c>
      <c r="AZ8" s="12" t="n"/>
      <c r="BA8" s="15" t="n"/>
      <c r="BB8" s="15">
        <f>AY8-BA8</f>
        <v/>
      </c>
      <c r="BC8" s="12" t="n"/>
      <c r="BD8" s="15" t="n"/>
      <c r="BE8" s="15">
        <f>BB8-BD8</f>
        <v/>
      </c>
      <c r="BF8" s="12" t="n"/>
      <c r="BG8" s="15" t="n"/>
      <c r="BH8" s="15">
        <f>BE8-BG8</f>
        <v/>
      </c>
      <c r="BI8" s="12" t="n"/>
      <c r="BJ8" s="15" t="n"/>
      <c r="BK8" s="15">
        <f>BH8-BJ8</f>
        <v/>
      </c>
      <c r="BL8" s="12" t="n"/>
      <c r="BM8" s="15" t="n"/>
      <c r="BN8" s="15">
        <f>BK8-BM8</f>
        <v/>
      </c>
      <c r="BO8" s="12" t="n"/>
      <c r="BP8" s="16">
        <f>H8+K8+N8+Q8+T8+W8+Z8+AC8+AF8+AI8+AL8+AO8+AR8+AU8+AX8+BA8+BD8+BG8+BJ8+BM8</f>
        <v/>
      </c>
      <c r="BQ8" s="16">
        <f>G8-BP8</f>
        <v/>
      </c>
    </row>
    <row r="9">
      <c r="A9" s="1" t="n"/>
      <c r="B9" s="13" t="inlineStr">
        <is>
          <t>HU-15</t>
        </is>
      </c>
      <c r="C9" s="13" t="inlineStr">
        <is>
          <t>Como Product Owner, necesito que se corrijan los errores menores detectados en las pruebas, con la finalidad de recibir un sistema estable.</t>
        </is>
      </c>
      <c r="D9" s="13" t="inlineStr">
        <is>
          <t>T37 Verificar las correcciones antes del cierre</t>
        </is>
      </c>
      <c r="E9" s="13" t="inlineStr">
        <is>
          <t>Equipo Scrum</t>
        </is>
      </c>
      <c r="F9" s="13" t="inlineStr">
        <is>
          <t>Por iniciar</t>
        </is>
      </c>
      <c r="G9" s="13" t="n">
        <v>1</v>
      </c>
      <c r="H9" s="15" t="n"/>
      <c r="I9" s="15">
        <f>G9-H9</f>
        <v/>
      </c>
      <c r="J9" s="12" t="n"/>
      <c r="K9" s="15" t="n"/>
      <c r="L9" s="15">
        <f>I9-K9</f>
        <v/>
      </c>
      <c r="M9" s="12" t="n"/>
      <c r="N9" s="15" t="n"/>
      <c r="O9" s="15">
        <f>L9-N9</f>
        <v/>
      </c>
      <c r="P9" s="12" t="n"/>
      <c r="Q9" s="15" t="n"/>
      <c r="R9" s="15">
        <f>O9-Q9</f>
        <v/>
      </c>
      <c r="S9" s="12" t="n"/>
      <c r="T9" s="15" t="n"/>
      <c r="U9" s="15">
        <f>R9-T9</f>
        <v/>
      </c>
      <c r="V9" s="12" t="n"/>
      <c r="W9" s="15" t="n"/>
      <c r="X9" s="15">
        <f>U9-W9</f>
        <v/>
      </c>
      <c r="Y9" s="12" t="n"/>
      <c r="Z9" s="15" t="n"/>
      <c r="AA9" s="15">
        <f>X9-Z9</f>
        <v/>
      </c>
      <c r="AB9" s="12" t="n"/>
      <c r="AC9" s="15" t="n"/>
      <c r="AD9" s="15">
        <f>AA9-AC9</f>
        <v/>
      </c>
      <c r="AE9" s="12" t="n"/>
      <c r="AF9" s="15" t="n"/>
      <c r="AG9" s="15">
        <f>AD9-AF9</f>
        <v/>
      </c>
      <c r="AH9" s="12" t="n"/>
      <c r="AI9" s="15" t="n"/>
      <c r="AJ9" s="15">
        <f>AG9-AI9</f>
        <v/>
      </c>
      <c r="AK9" s="12" t="n"/>
      <c r="AL9" s="15" t="n"/>
      <c r="AM9" s="15">
        <f>AJ9-AL9</f>
        <v/>
      </c>
      <c r="AN9" s="12" t="n"/>
      <c r="AO9" s="15" t="n"/>
      <c r="AP9" s="15">
        <f>AM9-AO9</f>
        <v/>
      </c>
      <c r="AQ9" s="12" t="n"/>
      <c r="AR9" s="15" t="n"/>
      <c r="AS9" s="15">
        <f>AP9-AR9</f>
        <v/>
      </c>
      <c r="AT9" s="12" t="n"/>
      <c r="AU9" s="15" t="n"/>
      <c r="AV9" s="15">
        <f>AS9-AU9</f>
        <v/>
      </c>
      <c r="AW9" s="12" t="n"/>
      <c r="AX9" s="15" t="n"/>
      <c r="AY9" s="15">
        <f>AV9-AX9</f>
        <v/>
      </c>
      <c r="AZ9" s="12" t="n"/>
      <c r="BA9" s="15" t="n"/>
      <c r="BB9" s="15">
        <f>AY9-BA9</f>
        <v/>
      </c>
      <c r="BC9" s="12" t="n"/>
      <c r="BD9" s="15" t="n"/>
      <c r="BE9" s="15">
        <f>BB9-BD9</f>
        <v/>
      </c>
      <c r="BF9" s="12" t="n"/>
      <c r="BG9" s="15" t="n"/>
      <c r="BH9" s="15">
        <f>BE9-BG9</f>
        <v/>
      </c>
      <c r="BI9" s="12" t="n"/>
      <c r="BJ9" s="15" t="n"/>
      <c r="BK9" s="15">
        <f>BH9-BJ9</f>
        <v/>
      </c>
      <c r="BL9" s="12" t="n"/>
      <c r="BM9" s="15" t="n"/>
      <c r="BN9" s="15">
        <f>BK9-BM9</f>
        <v/>
      </c>
      <c r="BO9" s="12" t="n"/>
      <c r="BP9" s="16">
        <f>H9+K9+N9+Q9+T9+W9+Z9+AC9+AF9+AI9+AL9+AO9+AR9+AU9+AX9+BA9+BD9+BG9+BJ9+BM9</f>
        <v/>
      </c>
      <c r="BQ9" s="16">
        <f>G9-BP9</f>
        <v/>
      </c>
    </row>
    <row r="10">
      <c r="A10" s="1" t="n"/>
      <c r="B10" s="20" t="inlineStr">
        <is>
          <t>Total</t>
        </is>
      </c>
      <c r="C10" s="20" t="n"/>
      <c r="D10" s="20" t="n"/>
      <c r="E10" s="20" t="n"/>
      <c r="F10" s="20" t="n"/>
      <c r="G10" s="20">
        <f>SUM(G6:G9)</f>
        <v/>
      </c>
      <c r="H10" s="22">
        <f>SUM(H6:H9)</f>
        <v/>
      </c>
      <c r="I10" s="22">
        <f>SUM(I6:I9)</f>
        <v/>
      </c>
      <c r="J10" s="23" t="n"/>
      <c r="K10" s="22">
        <f>SUM(K6:K9)</f>
        <v/>
      </c>
      <c r="L10" s="22">
        <f>SUM(L6:L9)</f>
        <v/>
      </c>
      <c r="M10" s="23" t="n"/>
      <c r="N10" s="22">
        <f>SUM(N6:N9)</f>
        <v/>
      </c>
      <c r="O10" s="22">
        <f>SUM(O6:O9)</f>
        <v/>
      </c>
      <c r="P10" s="23" t="n"/>
      <c r="Q10" s="22">
        <f>SUM(Q6:Q9)</f>
        <v/>
      </c>
      <c r="R10" s="22">
        <f>SUM(R6:R9)</f>
        <v/>
      </c>
      <c r="S10" s="23" t="n"/>
      <c r="T10" s="22">
        <f>SUM(T6:T9)</f>
        <v/>
      </c>
      <c r="U10" s="22">
        <f>SUM(U6:U9)</f>
        <v/>
      </c>
      <c r="V10" s="23" t="n"/>
      <c r="W10" s="22">
        <f>SUM(W6:W9)</f>
        <v/>
      </c>
      <c r="X10" s="22">
        <f>SUM(X6:X9)</f>
        <v/>
      </c>
      <c r="Y10" s="23" t="n"/>
      <c r="Z10" s="22">
        <f>SUM(Z6:Z9)</f>
        <v/>
      </c>
      <c r="AA10" s="22">
        <f>SUM(AA6:AA9)</f>
        <v/>
      </c>
      <c r="AB10" s="23" t="n"/>
      <c r="AC10" s="22">
        <f>SUM(AC6:AC9)</f>
        <v/>
      </c>
      <c r="AD10" s="22">
        <f>SUM(AD6:AD9)</f>
        <v/>
      </c>
      <c r="AE10" s="23" t="n"/>
      <c r="AF10" s="22">
        <f>SUM(AF6:AF9)</f>
        <v/>
      </c>
      <c r="AG10" s="22">
        <f>SUM(AG6:AG9)</f>
        <v/>
      </c>
      <c r="AH10" s="23" t="n"/>
      <c r="AI10" s="22">
        <f>SUM(AI6:AI9)</f>
        <v/>
      </c>
      <c r="AJ10" s="22">
        <f>SUM(AJ6:AJ9)</f>
        <v/>
      </c>
      <c r="AK10" s="23" t="n"/>
      <c r="AL10" s="22" t="n"/>
      <c r="AM10" s="22" t="n"/>
      <c r="AN10" s="23" t="n"/>
      <c r="AO10" s="22" t="n"/>
      <c r="AP10" s="22" t="n"/>
      <c r="AQ10" s="23" t="n"/>
      <c r="AR10" s="22" t="n"/>
      <c r="AS10" s="22" t="n"/>
      <c r="AT10" s="23" t="n"/>
      <c r="AU10" s="22" t="n"/>
      <c r="AV10" s="22" t="n"/>
      <c r="AW10" s="23" t="n"/>
      <c r="AX10" s="22" t="n"/>
      <c r="AY10" s="22" t="n"/>
      <c r="AZ10" s="23" t="n"/>
      <c r="BA10" s="22" t="n"/>
      <c r="BB10" s="22" t="n"/>
      <c r="BC10" s="23" t="n"/>
      <c r="BD10" s="22" t="n"/>
      <c r="BE10" s="22" t="n"/>
      <c r="BF10" s="23" t="n"/>
      <c r="BG10" s="22" t="n"/>
      <c r="BH10" s="22" t="n"/>
      <c r="BI10" s="23" t="n"/>
      <c r="BJ10" s="22" t="n"/>
      <c r="BK10" s="22" t="n"/>
      <c r="BL10" s="23" t="n"/>
      <c r="BM10" s="22" t="n"/>
      <c r="BN10" s="22" t="n"/>
      <c r="BO10" s="23" t="n"/>
      <c r="BP10" s="24">
        <f>SUM(BP6:BP9)</f>
        <v/>
      </c>
      <c r="BQ10" s="24">
        <f>SUM(BQ6:BQ9)</f>
        <v/>
      </c>
    </row>
    <row r="11">
      <c r="A11" s="1" t="n"/>
      <c r="B11" s="13" t="n"/>
      <c r="C11" s="13" t="n"/>
      <c r="D11" s="13" t="n"/>
      <c r="E11" s="13" t="n"/>
      <c r="F11" s="13" t="n"/>
      <c r="G11" s="13" t="n"/>
      <c r="H11" s="15" t="n"/>
      <c r="I11" s="15" t="n"/>
      <c r="J11" s="12" t="n"/>
      <c r="K11" s="15" t="n"/>
      <c r="L11" s="15" t="n"/>
      <c r="M11" s="12" t="n"/>
      <c r="N11" s="15" t="n"/>
      <c r="O11" s="15" t="n"/>
      <c r="P11" s="12" t="n"/>
      <c r="Q11" s="15" t="n"/>
      <c r="R11" s="15" t="n"/>
      <c r="S11" s="12" t="n"/>
      <c r="T11" s="15" t="n"/>
      <c r="U11" s="15" t="n"/>
      <c r="V11" s="12" t="n"/>
      <c r="W11" s="15" t="n"/>
      <c r="X11" s="15" t="n"/>
      <c r="Y11" s="12" t="n"/>
      <c r="Z11" s="15" t="n"/>
      <c r="AA11" s="15" t="n"/>
      <c r="AB11" s="12" t="n"/>
      <c r="AC11" s="15" t="n"/>
      <c r="AD11" s="15" t="n"/>
      <c r="AE11" s="12" t="n"/>
      <c r="AF11" s="15" t="n"/>
      <c r="AG11" s="15" t="n"/>
      <c r="AH11" s="12" t="n"/>
      <c r="AI11" s="15" t="n"/>
      <c r="AJ11" s="15" t="n"/>
      <c r="AK11" s="12" t="n"/>
      <c r="AL11" s="15" t="n"/>
      <c r="AM11" s="15" t="n"/>
      <c r="AN11" s="12" t="n"/>
      <c r="AO11" s="15" t="n"/>
      <c r="AP11" s="15" t="n"/>
      <c r="AQ11" s="12" t="n"/>
      <c r="AR11" s="15" t="n"/>
      <c r="AS11" s="15" t="n"/>
      <c r="AT11" s="12" t="n"/>
      <c r="AU11" s="15" t="n"/>
      <c r="AV11" s="15" t="n"/>
      <c r="AW11" s="12" t="n"/>
      <c r="AX11" s="15" t="n"/>
      <c r="AY11" s="15" t="n"/>
      <c r="AZ11" s="12" t="n"/>
      <c r="BA11" s="15" t="n"/>
      <c r="BB11" s="15" t="n"/>
      <c r="BC11" s="12" t="n"/>
      <c r="BD11" s="15" t="n"/>
      <c r="BE11" s="15" t="n"/>
      <c r="BF11" s="12" t="n"/>
      <c r="BG11" s="15" t="n"/>
      <c r="BH11" s="15" t="n"/>
      <c r="BI11" s="12" t="n"/>
      <c r="BJ11" s="15" t="n"/>
      <c r="BK11" s="15" t="n"/>
      <c r="BL11" s="12" t="n"/>
      <c r="BM11" s="15" t="n"/>
      <c r="BN11" s="15" t="n"/>
      <c r="BO11" s="12" t="n"/>
      <c r="BP11" s="16" t="n"/>
      <c r="BQ11" s="16" t="n"/>
    </row>
    <row r="12">
      <c r="A12" s="1" t="n"/>
      <c r="B12" s="26" t="inlineStr">
        <is>
          <t>Nota: Sprint planificado: tareas sujetas a ajuste en el Sprint Planning.</t>
        </is>
      </c>
      <c r="C12" s="13" t="n"/>
      <c r="D12" s="13" t="n"/>
      <c r="E12" s="13" t="n"/>
      <c r="F12" s="13" t="n"/>
      <c r="G12" s="13" t="n"/>
      <c r="H12" s="15" t="n"/>
      <c r="I12" s="15" t="n"/>
      <c r="J12" s="12" t="n"/>
      <c r="K12" s="15" t="n"/>
      <c r="L12" s="15" t="n"/>
      <c r="M12" s="12" t="n"/>
      <c r="N12" s="15" t="n"/>
      <c r="O12" s="15" t="n"/>
      <c r="P12" s="12" t="n"/>
      <c r="Q12" s="15" t="n"/>
      <c r="R12" s="15" t="n"/>
      <c r="S12" s="12" t="n"/>
      <c r="T12" s="15" t="n"/>
      <c r="U12" s="15" t="n"/>
      <c r="V12" s="12" t="n"/>
      <c r="W12" s="15" t="n"/>
      <c r="X12" s="15" t="n"/>
      <c r="Y12" s="12" t="n"/>
      <c r="Z12" s="15" t="n"/>
      <c r="AA12" s="15" t="n"/>
      <c r="AB12" s="12" t="n"/>
      <c r="AC12" s="15" t="n"/>
      <c r="AD12" s="15" t="n"/>
      <c r="AE12" s="12" t="n"/>
      <c r="AF12" s="15" t="n"/>
      <c r="AG12" s="15" t="n"/>
      <c r="AH12" s="12" t="n"/>
      <c r="AI12" s="15" t="n"/>
      <c r="AJ12" s="15" t="n"/>
      <c r="AK12" s="12" t="n"/>
      <c r="AL12" s="15" t="n"/>
      <c r="AM12" s="15" t="n"/>
      <c r="AN12" s="12" t="n"/>
      <c r="AO12" s="15" t="n"/>
      <c r="AP12" s="15" t="n"/>
      <c r="AQ12" s="12" t="n"/>
      <c r="AR12" s="15" t="n"/>
      <c r="AS12" s="15" t="n"/>
      <c r="AT12" s="12" t="n"/>
      <c r="AU12" s="15" t="n"/>
      <c r="AV12" s="15" t="n"/>
      <c r="AW12" s="12" t="n"/>
      <c r="AX12" s="15" t="n"/>
      <c r="AY12" s="15" t="n"/>
      <c r="AZ12" s="12" t="n"/>
      <c r="BA12" s="15" t="n"/>
      <c r="BB12" s="15" t="n"/>
      <c r="BC12" s="12" t="n"/>
      <c r="BD12" s="15" t="n"/>
      <c r="BE12" s="15" t="n"/>
      <c r="BF12" s="12" t="n"/>
      <c r="BG12" s="15" t="n"/>
      <c r="BH12" s="15" t="n"/>
      <c r="BI12" s="12" t="n"/>
      <c r="BJ12" s="15" t="n"/>
      <c r="BK12" s="15" t="n"/>
      <c r="BL12" s="12" t="n"/>
      <c r="BM12" s="15" t="n"/>
      <c r="BN12" s="15" t="n"/>
      <c r="BO12" s="12" t="n"/>
      <c r="BP12" s="16" t="n"/>
      <c r="BQ12" s="16" t="n"/>
    </row>
    <row r="13">
      <c r="A13" s="1" t="n"/>
      <c r="B13" s="13" t="n"/>
      <c r="C13" s="13" t="n"/>
      <c r="D13" s="13" t="n"/>
      <c r="E13" s="13" t="n"/>
      <c r="F13" s="13" t="n"/>
      <c r="G13" s="13" t="n"/>
      <c r="H13" s="15" t="n"/>
      <c r="I13" s="15" t="n"/>
      <c r="J13" s="12" t="n"/>
      <c r="K13" s="15" t="n"/>
      <c r="L13" s="15" t="n"/>
      <c r="M13" s="12" t="n"/>
      <c r="N13" s="15" t="n"/>
      <c r="O13" s="15" t="n"/>
      <c r="P13" s="12" t="n"/>
      <c r="Q13" s="15" t="n"/>
      <c r="R13" s="15" t="n"/>
      <c r="S13" s="12" t="n"/>
      <c r="T13" s="15" t="n"/>
      <c r="U13" s="15" t="n"/>
      <c r="V13" s="12" t="n"/>
      <c r="W13" s="15" t="n"/>
      <c r="X13" s="15" t="n"/>
      <c r="Y13" s="12" t="n"/>
      <c r="Z13" s="15" t="n"/>
      <c r="AA13" s="15" t="n"/>
      <c r="AB13" s="12" t="n"/>
      <c r="AC13" s="15" t="n"/>
      <c r="AD13" s="15" t="n"/>
      <c r="AE13" s="12" t="n"/>
      <c r="AF13" s="15" t="n"/>
      <c r="AG13" s="15" t="n"/>
      <c r="AH13" s="12" t="n"/>
      <c r="AI13" s="15" t="n"/>
      <c r="AJ13" s="15" t="n"/>
      <c r="AK13" s="12" t="n"/>
      <c r="AL13" s="15" t="n"/>
      <c r="AM13" s="15" t="n"/>
      <c r="AN13" s="12" t="n"/>
      <c r="AO13" s="15" t="n"/>
      <c r="AP13" s="15" t="n"/>
      <c r="AQ13" s="12" t="n"/>
      <c r="AR13" s="15" t="n"/>
      <c r="AS13" s="15" t="n"/>
      <c r="AT13" s="12" t="n"/>
      <c r="AU13" s="15" t="n"/>
      <c r="AV13" s="15" t="n"/>
      <c r="AW13" s="12" t="n"/>
      <c r="AX13" s="15" t="n"/>
      <c r="AY13" s="15" t="n"/>
      <c r="AZ13" s="12" t="n"/>
      <c r="BA13" s="15" t="n"/>
      <c r="BB13" s="15" t="n"/>
      <c r="BC13" s="12" t="n"/>
      <c r="BD13" s="15" t="n"/>
      <c r="BE13" s="15" t="n"/>
      <c r="BF13" s="12" t="n"/>
      <c r="BG13" s="15" t="n"/>
      <c r="BH13" s="15" t="n"/>
      <c r="BI13" s="12" t="n"/>
      <c r="BJ13" s="15" t="n"/>
      <c r="BK13" s="15" t="n"/>
      <c r="BL13" s="12" t="n"/>
      <c r="BM13" s="15" t="n"/>
      <c r="BN13" s="15" t="n"/>
      <c r="BO13" s="12" t="n"/>
      <c r="BP13" s="16" t="n"/>
      <c r="BQ13" s="16" t="n"/>
    </row>
    <row r="14">
      <c r="A14" s="1" t="n"/>
      <c r="B14" s="13" t="n"/>
      <c r="C14" s="13" t="n"/>
      <c r="D14" s="13" t="n"/>
      <c r="E14" s="13" t="n"/>
      <c r="F14" s="13" t="n"/>
      <c r="G14" s="13" t="n"/>
      <c r="H14" s="15" t="n"/>
      <c r="I14" s="15" t="n"/>
      <c r="J14" s="12" t="n"/>
      <c r="K14" s="15" t="n"/>
      <c r="L14" s="15" t="n"/>
      <c r="M14" s="12" t="n"/>
      <c r="N14" s="15" t="n"/>
      <c r="O14" s="15" t="n"/>
      <c r="P14" s="12" t="n"/>
      <c r="Q14" s="15" t="n"/>
      <c r="R14" s="15" t="n"/>
      <c r="S14" s="12" t="n"/>
      <c r="T14" s="15" t="n"/>
      <c r="U14" s="15" t="n"/>
      <c r="V14" s="12" t="n"/>
      <c r="W14" s="15" t="n"/>
      <c r="X14" s="15" t="n"/>
      <c r="Y14" s="12" t="n"/>
      <c r="Z14" s="15" t="n"/>
      <c r="AA14" s="15" t="n"/>
      <c r="AB14" s="12" t="n"/>
      <c r="AC14" s="15" t="n"/>
      <c r="AD14" s="15" t="n"/>
      <c r="AE14" s="12" t="n"/>
      <c r="AF14" s="15" t="n"/>
      <c r="AG14" s="15" t="n"/>
      <c r="AH14" s="12" t="n"/>
      <c r="AI14" s="15" t="n"/>
      <c r="AJ14" s="15" t="n"/>
      <c r="AK14" s="12" t="n"/>
      <c r="AL14" s="15" t="n"/>
      <c r="AM14" s="15" t="n"/>
      <c r="AN14" s="12" t="n"/>
      <c r="AO14" s="15" t="n"/>
      <c r="AP14" s="15" t="n"/>
      <c r="AQ14" s="12" t="n"/>
      <c r="AR14" s="15" t="n"/>
      <c r="AS14" s="15" t="n"/>
      <c r="AT14" s="12" t="n"/>
      <c r="AU14" s="15" t="n"/>
      <c r="AV14" s="15" t="n"/>
      <c r="AW14" s="12" t="n"/>
      <c r="AX14" s="15" t="n"/>
      <c r="AY14" s="15" t="n"/>
      <c r="AZ14" s="12" t="n"/>
      <c r="BA14" s="15" t="n"/>
      <c r="BB14" s="15" t="n"/>
      <c r="BC14" s="12" t="n"/>
      <c r="BD14" s="15" t="n"/>
      <c r="BE14" s="15" t="n"/>
      <c r="BF14" s="12" t="n"/>
      <c r="BG14" s="15" t="n"/>
      <c r="BH14" s="15" t="n"/>
      <c r="BI14" s="12" t="n"/>
      <c r="BJ14" s="15" t="n"/>
      <c r="BK14" s="15" t="n"/>
      <c r="BL14" s="12" t="n"/>
      <c r="BM14" s="15" t="n"/>
      <c r="BN14" s="15" t="n"/>
      <c r="BO14" s="12" t="n"/>
      <c r="BP14" s="16" t="n"/>
      <c r="BQ14" s="16" t="n"/>
    </row>
    <row r="15">
      <c r="A15" s="1" t="n"/>
      <c r="B15" s="13" t="n"/>
      <c r="C15" s="13" t="n"/>
      <c r="D15" s="13" t="n"/>
      <c r="E15" s="13" t="n"/>
      <c r="F15" s="13" t="n"/>
      <c r="G15" s="13" t="n"/>
      <c r="H15" s="15" t="n"/>
      <c r="I15" s="15" t="n"/>
      <c r="J15" s="12" t="n"/>
      <c r="K15" s="15" t="n"/>
      <c r="L15" s="15" t="n"/>
      <c r="M15" s="12" t="n"/>
      <c r="N15" s="15" t="n"/>
      <c r="O15" s="15" t="n"/>
      <c r="P15" s="12" t="n"/>
      <c r="Q15" s="15" t="n"/>
      <c r="R15" s="15" t="n"/>
      <c r="S15" s="12" t="n"/>
      <c r="T15" s="15" t="n"/>
      <c r="U15" s="15" t="n"/>
      <c r="V15" s="12" t="n"/>
      <c r="W15" s="15" t="n"/>
      <c r="X15" s="15" t="n"/>
      <c r="Y15" s="12" t="n"/>
      <c r="Z15" s="15" t="n"/>
      <c r="AA15" s="15" t="n"/>
      <c r="AB15" s="12" t="n"/>
      <c r="AC15" s="15" t="n"/>
      <c r="AD15" s="15" t="n"/>
      <c r="AE15" s="12" t="n"/>
      <c r="AF15" s="15" t="n"/>
      <c r="AG15" s="15" t="n"/>
      <c r="AH15" s="12" t="n"/>
      <c r="AI15" s="15" t="n"/>
      <c r="AJ15" s="15" t="n"/>
      <c r="AK15" s="12" t="n"/>
      <c r="AL15" s="15" t="n"/>
      <c r="AM15" s="15" t="n"/>
      <c r="AN15" s="12" t="n"/>
      <c r="AO15" s="15" t="n"/>
      <c r="AP15" s="15" t="n"/>
      <c r="AQ15" s="12" t="n"/>
      <c r="AR15" s="15" t="n"/>
      <c r="AS15" s="15" t="n"/>
      <c r="AT15" s="12" t="n"/>
      <c r="AU15" s="15" t="n"/>
      <c r="AV15" s="15" t="n"/>
      <c r="AW15" s="12" t="n"/>
      <c r="AX15" s="15" t="n"/>
      <c r="AY15" s="15" t="n"/>
      <c r="AZ15" s="12" t="n"/>
      <c r="BA15" s="15" t="n"/>
      <c r="BB15" s="15" t="n"/>
      <c r="BC15" s="12" t="n"/>
      <c r="BD15" s="15" t="n"/>
      <c r="BE15" s="15" t="n"/>
      <c r="BF15" s="12" t="n"/>
      <c r="BG15" s="15" t="n"/>
      <c r="BH15" s="15" t="n"/>
      <c r="BI15" s="12" t="n"/>
      <c r="BJ15" s="15" t="n"/>
      <c r="BK15" s="15" t="n"/>
      <c r="BL15" s="12" t="n"/>
      <c r="BM15" s="15" t="n"/>
      <c r="BN15" s="15" t="n"/>
      <c r="BO15" s="12" t="n"/>
      <c r="BP15" s="16" t="n"/>
      <c r="BQ15" s="16" t="n"/>
    </row>
    <row r="16">
      <c r="A16" s="1" t="n"/>
      <c r="B16" s="13" t="n"/>
      <c r="C16" s="13" t="n"/>
      <c r="D16" s="13" t="n"/>
      <c r="E16" s="13" t="n"/>
      <c r="F16" s="13" t="n"/>
      <c r="G16" s="13" t="n"/>
      <c r="H16" s="15" t="n"/>
      <c r="I16" s="15" t="n"/>
      <c r="J16" s="12" t="n"/>
      <c r="K16" s="15" t="n"/>
      <c r="L16" s="15" t="n"/>
      <c r="M16" s="12" t="n"/>
      <c r="N16" s="15" t="n"/>
      <c r="O16" s="15" t="n"/>
      <c r="P16" s="12" t="n"/>
      <c r="Q16" s="15" t="n"/>
      <c r="R16" s="15" t="n"/>
      <c r="S16" s="12" t="n"/>
      <c r="T16" s="15" t="n"/>
      <c r="U16" s="15" t="n"/>
      <c r="V16" s="12" t="n"/>
      <c r="W16" s="15" t="n"/>
      <c r="X16" s="15" t="n"/>
      <c r="Y16" s="12" t="n"/>
      <c r="Z16" s="15" t="n"/>
      <c r="AA16" s="15" t="n"/>
      <c r="AB16" s="12" t="n"/>
      <c r="AC16" s="15" t="n"/>
      <c r="AD16" s="15" t="n"/>
      <c r="AE16" s="12" t="n"/>
      <c r="AF16" s="15" t="n"/>
      <c r="AG16" s="15" t="n"/>
      <c r="AH16" s="12" t="n"/>
      <c r="AI16" s="15" t="n"/>
      <c r="AJ16" s="15" t="n"/>
      <c r="AK16" s="12" t="n"/>
      <c r="AL16" s="15" t="n"/>
      <c r="AM16" s="15" t="n"/>
      <c r="AN16" s="12" t="n"/>
      <c r="AO16" s="15" t="n"/>
      <c r="AP16" s="15" t="n"/>
      <c r="AQ16" s="12" t="n"/>
      <c r="AR16" s="15" t="n"/>
      <c r="AS16" s="15" t="n"/>
      <c r="AT16" s="12" t="n"/>
      <c r="AU16" s="15" t="n"/>
      <c r="AV16" s="15" t="n"/>
      <c r="AW16" s="12" t="n"/>
      <c r="AX16" s="15" t="n"/>
      <c r="AY16" s="15" t="n"/>
      <c r="AZ16" s="12" t="n"/>
      <c r="BA16" s="15" t="n"/>
      <c r="BB16" s="15" t="n"/>
      <c r="BC16" s="12" t="n"/>
      <c r="BD16" s="15" t="n"/>
      <c r="BE16" s="15" t="n"/>
      <c r="BF16" s="12" t="n"/>
      <c r="BG16" s="15" t="n"/>
      <c r="BH16" s="15" t="n"/>
      <c r="BI16" s="12" t="n"/>
      <c r="BJ16" s="15" t="n"/>
      <c r="BK16" s="15" t="n"/>
      <c r="BL16" s="12" t="n"/>
      <c r="BM16" s="15" t="n"/>
      <c r="BN16" s="15" t="n"/>
      <c r="BO16" s="12" t="n"/>
      <c r="BP16" s="16" t="n"/>
      <c r="BQ16" s="16" t="n"/>
    </row>
    <row r="17">
      <c r="A17" s="1" t="n"/>
      <c r="B17" s="13" t="n"/>
      <c r="C17" s="13" t="n"/>
      <c r="D17" s="13" t="n"/>
      <c r="E17" s="13" t="n"/>
      <c r="F17" s="13" t="n"/>
      <c r="G17" s="13" t="n"/>
      <c r="H17" s="15" t="n"/>
      <c r="I17" s="15" t="n"/>
      <c r="J17" s="12" t="n"/>
      <c r="K17" s="15" t="n"/>
      <c r="L17" s="15" t="n"/>
      <c r="M17" s="12" t="n"/>
      <c r="N17" s="15" t="n"/>
      <c r="O17" s="15" t="n"/>
      <c r="P17" s="12" t="n"/>
      <c r="Q17" s="15" t="n"/>
      <c r="R17" s="15" t="n"/>
      <c r="S17" s="12" t="n"/>
      <c r="T17" s="15" t="n"/>
      <c r="U17" s="15" t="n"/>
      <c r="V17" s="12" t="n"/>
      <c r="W17" s="15" t="n"/>
      <c r="X17" s="15" t="n"/>
      <c r="Y17" s="12" t="n"/>
      <c r="Z17" s="15" t="n"/>
      <c r="AA17" s="15" t="n"/>
      <c r="AB17" s="12" t="n"/>
      <c r="AC17" s="15" t="n"/>
      <c r="AD17" s="15" t="n"/>
      <c r="AE17" s="12" t="n"/>
      <c r="AF17" s="15" t="n"/>
      <c r="AG17" s="15" t="n"/>
      <c r="AH17" s="12" t="n"/>
      <c r="AI17" s="15" t="n"/>
      <c r="AJ17" s="15" t="n"/>
      <c r="AK17" s="12" t="n"/>
      <c r="AL17" s="15" t="n"/>
      <c r="AM17" s="15" t="n"/>
      <c r="AN17" s="12" t="n"/>
      <c r="AO17" s="15" t="n"/>
      <c r="AP17" s="15" t="n"/>
      <c r="AQ17" s="12" t="n"/>
      <c r="AR17" s="15" t="n"/>
      <c r="AS17" s="15" t="n"/>
      <c r="AT17" s="12" t="n"/>
      <c r="AU17" s="15" t="n"/>
      <c r="AV17" s="15" t="n"/>
      <c r="AW17" s="12" t="n"/>
      <c r="AX17" s="15" t="n"/>
      <c r="AY17" s="15" t="n"/>
      <c r="AZ17" s="12" t="n"/>
      <c r="BA17" s="15" t="n"/>
      <c r="BB17" s="15" t="n"/>
      <c r="BC17" s="12" t="n"/>
      <c r="BD17" s="15" t="n"/>
      <c r="BE17" s="15" t="n"/>
      <c r="BF17" s="12" t="n"/>
      <c r="BG17" s="15" t="n"/>
      <c r="BH17" s="15" t="n"/>
      <c r="BI17" s="12" t="n"/>
      <c r="BJ17" s="15" t="n"/>
      <c r="BK17" s="15" t="n"/>
      <c r="BL17" s="12" t="n"/>
      <c r="BM17" s="15" t="n"/>
      <c r="BN17" s="15" t="n"/>
      <c r="BO17" s="12" t="n"/>
      <c r="BP17" s="16" t="n"/>
      <c r="BQ17" s="16"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c r="BH18" s="1" t="n"/>
      <c r="BI18" s="1" t="n"/>
      <c r="BJ18" s="1" t="n"/>
      <c r="BK18" s="1" t="n"/>
      <c r="BL18" s="1" t="n"/>
      <c r="BM18" s="1" t="n"/>
      <c r="BN18" s="1" t="n"/>
      <c r="BO18" s="1" t="n"/>
      <c r="BP18" s="1" t="n"/>
      <c r="BQ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c r="BH19" s="1" t="n"/>
      <c r="BI19" s="1" t="n"/>
      <c r="BJ19" s="1" t="n"/>
      <c r="BK19" s="1" t="n"/>
      <c r="BL19" s="1" t="n"/>
      <c r="BM19" s="1" t="n"/>
      <c r="BN19" s="1" t="n"/>
      <c r="BO19" s="1" t="n"/>
      <c r="BP19" s="1" t="n"/>
      <c r="BQ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c r="BH20" s="1" t="n"/>
      <c r="BI20" s="1" t="n"/>
      <c r="BJ20" s="1" t="n"/>
      <c r="BK20" s="1" t="n"/>
      <c r="BL20" s="1" t="n"/>
      <c r="BM20" s="1" t="n"/>
      <c r="BN20" s="1" t="n"/>
      <c r="BO20" s="1" t="n"/>
      <c r="BP20" s="1" t="n"/>
      <c r="BQ20" s="1" t="n"/>
    </row>
    <row r="21" ht="15.75" customHeight="1" s="1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row>
    <row r="22" ht="15.75" customHeight="1" s="1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row>
    <row r="23" ht="15.75" customHeight="1" s="1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row>
    <row r="24" ht="15.75" customHeight="1" s="1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21">
    <mergeCell ref="W4:X4"/>
    <mergeCell ref="AX4:AY4"/>
    <mergeCell ref="BJ4:BK4"/>
    <mergeCell ref="H4:I4"/>
    <mergeCell ref="AU4:AV4"/>
    <mergeCell ref="T4:U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000"/>
  <sheetViews>
    <sheetView tabSelected="0" workbookViewId="0">
      <selection activeCell="A1" sqref="A1"/>
    </sheetView>
  </sheetViews>
  <sheetFormatPr baseColWidth="8" defaultColWidth="12.63" defaultRowHeight="15" customHeight="1"/>
  <cols>
    <col width="1.38" customWidth="1" style="18" min="1" max="1"/>
    <col width="24.25" customWidth="1" style="18" min="2" max="2"/>
    <col width="75.25" customWidth="1" style="18" min="3" max="3"/>
    <col width="2.5" customWidth="1" style="18" min="4" max="4"/>
    <col width="10" customWidth="1" style="18" min="5" max="6"/>
    <col width="9.380000000000001" customWidth="1" style="18" min="7" max="26"/>
  </cols>
  <sheetData>
    <row r="1">
      <c r="A1" s="1" t="n"/>
      <c r="B1" s="2" t="inlineStr">
        <is>
          <t>Lista de tareas de la iteración (Sprint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4" t="inlineStr">
        <is>
          <t>Columna</t>
        </is>
      </c>
      <c r="C4" s="4"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13">
        <f>'Sprint 1'!B5</f>
        <v/>
      </c>
      <c r="C5" s="13" t="inlineStr">
        <is>
          <t>Código que hace referencia al elemento de la pila de producto (Product Backlog) al cual la tarea de la iteración hace referencia.</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3">
        <f>'Sprint 1'!C5</f>
        <v/>
      </c>
      <c r="C6" s="13"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13" t="inlineStr">
        <is>
          <t>Tarea</t>
        </is>
      </c>
      <c r="C7" s="13"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13" t="inlineStr">
        <is>
          <t>Dueño / Voluntario</t>
        </is>
      </c>
      <c r="C8" s="13"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3" t="inlineStr">
        <is>
          <t>Estatus</t>
        </is>
      </c>
      <c r="C9" s="13"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3" t="inlineStr">
        <is>
          <t>Horas estimadas totales</t>
        </is>
      </c>
      <c r="C10" s="13" t="inlineStr">
        <is>
          <t>Horas que han sido estimadas por el equipo Scrum que serán necesarias para ejecutar la tarea. La asignación de estimados se realiza durante la reunión de planificación de la iteración (Sprint Planning Meeting).</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3" t="inlineStr">
        <is>
          <t>Día 1 …. Día n</t>
        </is>
      </c>
      <c r="C11" s="13" t="inlineStr">
        <is>
          <t>Una vez comienza a ejecutarse la iteración, se utilizan las columnas para llevar un registro de las horas que se han consumido en cada tarea y cuantas horas restan para completarla.</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3" t="inlineStr">
        <is>
          <t>Cons.</t>
        </is>
      </c>
      <c r="C12" s="13" t="inlineStr">
        <is>
          <t>Horas consumidas en la tarea en el día especificado.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3" t="inlineStr">
        <is>
          <t>Rest.</t>
        </is>
      </c>
      <c r="C13" s="13" t="inlineStr">
        <is>
          <t>Horas que restan luego de registrarse el consumo diario. Se calcula tomando las horas que restaban el día anterior y se resta las horas consumidas en el día. Si se trata del primer día, se restan las horas del día 1 al estimado de horas totales.</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3" t="inlineStr">
        <is>
          <t>Total</t>
        </is>
      </c>
      <c r="C14" s="13" t="inlineStr">
        <is>
          <t>Registra la suma de todas las horas consumidas en el Sprint y las horas que restan finalmente. Las horas restantes deberían ser de cero si se logro ejecutar la tarea en su totalidad.</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1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1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1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1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2026-10-10T21:13:01Z</dcterms:modified>
</cp:coreProperties>
</file>