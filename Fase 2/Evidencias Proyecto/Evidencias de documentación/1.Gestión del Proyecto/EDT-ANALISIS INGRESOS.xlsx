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ili\OneDrive\Documentos\COWORK\5.Capstone\Cowork-16-CAPSTONE_002D\EXP2-Desarrollo Proyecto APT\Examen_2\3.Evidencias Proyecto\Evidencias de documentación\"/>
    </mc:Choice>
  </mc:AlternateContent>
  <bookViews>
    <workbookView xWindow="0" yWindow="0" windowWidth="16380" windowHeight="8190" tabRatio="500"/>
  </bookViews>
  <sheets>
    <sheet name="EDT" sheetId="1" r:id="rId1"/>
    <sheet name="ANALISIS INGRESOS" sheetId="2" r:id="rId2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2" l="1"/>
  <c r="G11" i="2"/>
  <c r="F10" i="2"/>
  <c r="G10" i="2" s="1"/>
  <c r="F9" i="2"/>
  <c r="G9" i="2" s="1"/>
  <c r="M8" i="1" s="1"/>
  <c r="F8" i="2"/>
  <c r="G8" i="2" s="1"/>
  <c r="M9" i="1" s="1"/>
  <c r="G7" i="2"/>
  <c r="F7" i="2"/>
  <c r="F6" i="2"/>
  <c r="G6" i="2" s="1"/>
  <c r="E71" i="1"/>
  <c r="M32" i="1" s="1"/>
  <c r="C71" i="1"/>
  <c r="G70" i="1"/>
  <c r="F69" i="1"/>
  <c r="E69" i="1"/>
  <c r="D69" i="1"/>
  <c r="H69" i="1" s="1"/>
  <c r="F68" i="1"/>
  <c r="G68" i="1" s="1"/>
  <c r="E68" i="1"/>
  <c r="D68" i="1"/>
  <c r="G67" i="1"/>
  <c r="F67" i="1"/>
  <c r="E67" i="1"/>
  <c r="D67" i="1"/>
  <c r="G65" i="1"/>
  <c r="F64" i="1"/>
  <c r="E64" i="1"/>
  <c r="G64" i="1" s="1"/>
  <c r="D64" i="1"/>
  <c r="F63" i="1"/>
  <c r="E63" i="1"/>
  <c r="D63" i="1"/>
  <c r="H63" i="1" s="1"/>
  <c r="G62" i="1"/>
  <c r="D61" i="1"/>
  <c r="H61" i="1" s="1"/>
  <c r="F60" i="1"/>
  <c r="E60" i="1"/>
  <c r="G60" i="1" s="1"/>
  <c r="F58" i="1"/>
  <c r="E58" i="1"/>
  <c r="D58" i="1"/>
  <c r="G58" i="1" s="1"/>
  <c r="F57" i="1"/>
  <c r="G57" i="1" s="1"/>
  <c r="E57" i="1"/>
  <c r="D57" i="1"/>
  <c r="F56" i="1"/>
  <c r="E56" i="1"/>
  <c r="G56" i="1" s="1"/>
  <c r="G55" i="1"/>
  <c r="F55" i="1"/>
  <c r="E55" i="1"/>
  <c r="F54" i="1"/>
  <c r="E54" i="1"/>
  <c r="D54" i="1"/>
  <c r="H54" i="1" s="1"/>
  <c r="G52" i="1"/>
  <c r="F52" i="1"/>
  <c r="E52" i="1"/>
  <c r="D52" i="1"/>
  <c r="F51" i="1"/>
  <c r="E51" i="1"/>
  <c r="D51" i="1"/>
  <c r="F50" i="1"/>
  <c r="G50" i="1" s="1"/>
  <c r="E50" i="1"/>
  <c r="F49" i="1"/>
  <c r="G49" i="1" s="1"/>
  <c r="E49" i="1"/>
  <c r="F48" i="1"/>
  <c r="G48" i="1" s="1"/>
  <c r="E48" i="1"/>
  <c r="F47" i="1"/>
  <c r="E47" i="1"/>
  <c r="G47" i="1" s="1"/>
  <c r="D47" i="1"/>
  <c r="F45" i="1"/>
  <c r="E45" i="1"/>
  <c r="D45" i="1"/>
  <c r="G44" i="1"/>
  <c r="F44" i="1"/>
  <c r="E44" i="1"/>
  <c r="D44" i="1"/>
  <c r="G43" i="1"/>
  <c r="E43" i="1"/>
  <c r="F42" i="1"/>
  <c r="E42" i="1"/>
  <c r="G42" i="1" s="1"/>
  <c r="F41" i="1"/>
  <c r="E41" i="1"/>
  <c r="D41" i="1"/>
  <c r="H41" i="1" s="1"/>
  <c r="G39" i="1"/>
  <c r="F38" i="1"/>
  <c r="E38" i="1"/>
  <c r="D38" i="1"/>
  <c r="H38" i="1" s="1"/>
  <c r="F37" i="1"/>
  <c r="E37" i="1"/>
  <c r="G37" i="1" s="1"/>
  <c r="E36" i="1"/>
  <c r="G36" i="1" s="1"/>
  <c r="G35" i="1"/>
  <c r="E35" i="1"/>
  <c r="F34" i="1"/>
  <c r="E34" i="1"/>
  <c r="D34" i="1"/>
  <c r="H34" i="1" s="1"/>
  <c r="G32" i="1"/>
  <c r="G31" i="1"/>
  <c r="F31" i="1"/>
  <c r="E31" i="1"/>
  <c r="D31" i="1"/>
  <c r="E30" i="1"/>
  <c r="G30" i="1" s="1"/>
  <c r="E29" i="1"/>
  <c r="G29" i="1" s="1"/>
  <c r="F28" i="1"/>
  <c r="G28" i="1" s="1"/>
  <c r="K24" i="1" s="1"/>
  <c r="E28" i="1"/>
  <c r="D28" i="1"/>
  <c r="G26" i="1"/>
  <c r="E25" i="1"/>
  <c r="G25" i="1" s="1"/>
  <c r="G24" i="1"/>
  <c r="F24" i="1"/>
  <c r="E24" i="1"/>
  <c r="F23" i="1"/>
  <c r="E23" i="1"/>
  <c r="D23" i="1"/>
  <c r="G23" i="1" s="1"/>
  <c r="K23" i="1" s="1"/>
  <c r="F20" i="1"/>
  <c r="E20" i="1"/>
  <c r="D20" i="1"/>
  <c r="H20" i="1" s="1"/>
  <c r="D19" i="1"/>
  <c r="H19" i="1" s="1"/>
  <c r="D18" i="1"/>
  <c r="G18" i="1" s="1"/>
  <c r="F17" i="1"/>
  <c r="E17" i="1"/>
  <c r="D17" i="1"/>
  <c r="G17" i="1" s="1"/>
  <c r="G16" i="1"/>
  <c r="D16" i="1"/>
  <c r="G14" i="1"/>
  <c r="F13" i="1"/>
  <c r="E13" i="1"/>
  <c r="D13" i="1"/>
  <c r="H13" i="1" s="1"/>
  <c r="D12" i="1"/>
  <c r="H12" i="1" s="1"/>
  <c r="G11" i="1"/>
  <c r="F11" i="1"/>
  <c r="E11" i="1"/>
  <c r="D11" i="1"/>
  <c r="F10" i="1"/>
  <c r="G10" i="1" s="1"/>
  <c r="E10" i="1"/>
  <c r="D10" i="1"/>
  <c r="F9" i="1"/>
  <c r="F71" i="1" s="1"/>
  <c r="E9" i="1"/>
  <c r="D9" i="1"/>
  <c r="G9" i="1" s="1"/>
  <c r="F8" i="1"/>
  <c r="E8" i="1"/>
  <c r="D8" i="1"/>
  <c r="D71" i="1" s="1"/>
  <c r="H39" i="1" l="1"/>
  <c r="H31" i="1"/>
  <c r="H48" i="1"/>
  <c r="H70" i="1"/>
  <c r="H56" i="1"/>
  <c r="H14" i="1"/>
  <c r="H65" i="1"/>
  <c r="H60" i="1"/>
  <c r="M17" i="1" s="1"/>
  <c r="H43" i="1"/>
  <c r="H64" i="1"/>
  <c r="H47" i="1"/>
  <c r="M27" i="1" s="1"/>
  <c r="H30" i="1"/>
  <c r="H55" i="1"/>
  <c r="H26" i="1"/>
  <c r="H42" i="1"/>
  <c r="H37" i="1"/>
  <c r="H17" i="1"/>
  <c r="H9" i="1"/>
  <c r="H11" i="1"/>
  <c r="H62" i="1"/>
  <c r="H52" i="1"/>
  <c r="H44" i="1"/>
  <c r="H24" i="1"/>
  <c r="H16" i="1"/>
  <c r="M15" i="1" s="1"/>
  <c r="H10" i="1"/>
  <c r="H58" i="1"/>
  <c r="H29" i="1"/>
  <c r="H50" i="1"/>
  <c r="H25" i="1"/>
  <c r="M7" i="1"/>
  <c r="H36" i="1"/>
  <c r="M25" i="1" s="1"/>
  <c r="H32" i="1"/>
  <c r="H57" i="1"/>
  <c r="H49" i="1"/>
  <c r="H28" i="1"/>
  <c r="H23" i="1"/>
  <c r="H67" i="1"/>
  <c r="M18" i="1" s="1"/>
  <c r="H35" i="1"/>
  <c r="H18" i="1"/>
  <c r="M26" i="1"/>
  <c r="M31" i="1"/>
  <c r="K31" i="1"/>
  <c r="H51" i="1"/>
  <c r="M28" i="1"/>
  <c r="M33" i="1"/>
  <c r="K33" i="1"/>
  <c r="H45" i="1"/>
  <c r="H68" i="1"/>
  <c r="G41" i="1"/>
  <c r="K26" i="1" s="1"/>
  <c r="K32" i="1"/>
  <c r="G45" i="1"/>
  <c r="G54" i="1"/>
  <c r="K28" i="1" s="1"/>
  <c r="G63" i="1"/>
  <c r="G12" i="1"/>
  <c r="G20" i="1"/>
  <c r="H8" i="1"/>
  <c r="G13" i="1"/>
  <c r="G51" i="1"/>
  <c r="K27" i="1" s="1"/>
  <c r="G69" i="1"/>
  <c r="G34" i="1"/>
  <c r="K25" i="1" s="1"/>
  <c r="G38" i="1"/>
  <c r="G61" i="1"/>
  <c r="G19" i="1"/>
  <c r="G8" i="1"/>
  <c r="M34" i="1" l="1"/>
  <c r="H71" i="1"/>
  <c r="M20" i="1" s="1"/>
  <c r="M14" i="1"/>
  <c r="K34" i="1"/>
  <c r="M23" i="1"/>
  <c r="M16" i="1"/>
  <c r="M24" i="1"/>
  <c r="G71" i="1"/>
  <c r="M19" i="1" l="1"/>
</calcChain>
</file>

<file path=xl/comments1.xml><?xml version="1.0" encoding="utf-8"?>
<comments xmlns="http://schemas.openxmlformats.org/spreadsheetml/2006/main">
  <authors>
    <author>Unknown Author</author>
  </authors>
  <commentList>
    <comment ref="M4" authorId="0" shapeId="0">
      <text>
        <r>
          <rPr>
            <sz val="10"/>
            <rFont val="Arial"/>
            <family val="2"/>
          </rPr>
          <t>Supuesto del equipo: horas diarias que cada integrante asignado dedica a una actividad. Cámbialo y la planilla se recalcula.</t>
        </r>
      </text>
    </comment>
  </commentList>
</comments>
</file>

<file path=xl/sharedStrings.xml><?xml version="1.0" encoding="utf-8"?>
<sst xmlns="http://schemas.openxmlformats.org/spreadsheetml/2006/main" count="286" uniqueCount="211">
  <si>
    <t>EDT - Estructura de Descomposición del Trabajo: FireFleet</t>
  </si>
  <si>
    <t>Sistema de Control y Seguimiento de Mantención de Vehículos de Emergencia · Cuerpo de Bomberos de Talcahuano · Capstone 002D</t>
  </si>
  <si>
    <t>Fuente de actividades y días: Carta Gantt del proyecto (días hábiles). Horas = Días × horas de dedicación diaria por integrante asignado.</t>
  </si>
  <si>
    <t>Horas de dedicación por día</t>
  </si>
  <si>
    <t>ID</t>
  </si>
  <si>
    <t>Actividad / Entregable</t>
  </si>
  <si>
    <t>Días</t>
  </si>
  <si>
    <t>SM</t>
  </si>
  <si>
    <t>DW</t>
  </si>
  <si>
    <t>DM</t>
  </si>
  <si>
    <t>Total HH</t>
  </si>
  <si>
    <t>Costo ($)</t>
  </si>
  <si>
    <t>Grupo</t>
  </si>
  <si>
    <t>SIGLA</t>
  </si>
  <si>
    <t>ROL</t>
  </si>
  <si>
    <t>NOMBRE</t>
  </si>
  <si>
    <t>COSTO x HORA</t>
  </si>
  <si>
    <t>1</t>
  </si>
  <si>
    <t>Fase 1: Definición del proyecto</t>
  </si>
  <si>
    <t>Scrum Master / Analista</t>
  </si>
  <si>
    <t>Álvaro Caroca</t>
  </si>
  <si>
    <t>1.1</t>
  </si>
  <si>
    <t>Definición del proyecto y levantamiento inicial</t>
  </si>
  <si>
    <t>F1</t>
  </si>
  <si>
    <t>Desarrollador web, backend y BD</t>
  </si>
  <si>
    <t>Emmanuel Cabrera</t>
  </si>
  <si>
    <t>1.2</t>
  </si>
  <si>
    <t>Entrevista con Bomberos y análisis AS-IS</t>
  </si>
  <si>
    <t>Desarrollador móvil (Android)</t>
  </si>
  <si>
    <t>Felipe Castañeda</t>
  </si>
  <si>
    <t>1.3</t>
  </si>
  <si>
    <t>Redacción: descripción, competencias, intereses y factibilidad</t>
  </si>
  <si>
    <t>PO</t>
  </si>
  <si>
    <t>Product Owner</t>
  </si>
  <si>
    <t>Juan Andrés Hernández Aliaga</t>
  </si>
  <si>
    <t>Sin costo (docente)</t>
  </si>
  <si>
    <t>1.4</t>
  </si>
  <si>
    <t>Objetivos y metodología</t>
  </si>
  <si>
    <t>Tarifas: hoja ANALISIS INGRESOS (SM = Jefe de Proyecto, DW = Desarrollador BD, DM = Programador).</t>
  </si>
  <si>
    <t>1.5</t>
  </si>
  <si>
    <t>Plan de trabajo y Carta Gantt</t>
  </si>
  <si>
    <t>1.6</t>
  </si>
  <si>
    <t>Consolidación del informe EV_1 y evidencias</t>
  </si>
  <si>
    <t>COSTO POR FASE</t>
  </si>
  <si>
    <t>1.7</t>
  </si>
  <si>
    <t>Hito 1: Entrega y presentación EVA 1</t>
  </si>
  <si>
    <t>2</t>
  </si>
  <si>
    <t>Fase 2: Levantamiento, Product Backlog y arquitectura</t>
  </si>
  <si>
    <t>Fase 2: Levantamiento y arquitectura</t>
  </si>
  <si>
    <t>2.1</t>
  </si>
  <si>
    <t>Mapeo de actores y visión</t>
  </si>
  <si>
    <t>F2</t>
  </si>
  <si>
    <t>2.2</t>
  </si>
  <si>
    <t>Épicas e historias de usuario</t>
  </si>
  <si>
    <t>Fase 4: Integración, validación y cierre</t>
  </si>
  <si>
    <t>2.3</t>
  </si>
  <si>
    <t>User Story Mapping y definición de releases</t>
  </si>
  <si>
    <t>Fase 5: Presentación final</t>
  </si>
  <si>
    <t>2.4</t>
  </si>
  <si>
    <t>Product Backlog priorizado</t>
  </si>
  <si>
    <t>TOTAL PROYECTO</t>
  </si>
  <si>
    <t>2.5</t>
  </si>
  <si>
    <t>Diseño de arquitectura (DAS, vistas 4+1)</t>
  </si>
  <si>
    <t>Control (debe ser igual al total de la columna H)</t>
  </si>
  <si>
    <t>3</t>
  </si>
  <si>
    <t>Fase 3: Desarrollo (Scrum)</t>
  </si>
  <si>
    <t>3.1</t>
  </si>
  <si>
    <t>Sprint 0: Configuración base</t>
  </si>
  <si>
    <t>COSTO POR SPRINT</t>
  </si>
  <si>
    <t>HH</t>
  </si>
  <si>
    <t>3.1.1</t>
  </si>
  <si>
    <t>Sprint Planning</t>
  </si>
  <si>
    <t>S0</t>
  </si>
  <si>
    <t>Sprint 0</t>
  </si>
  <si>
    <t>Terminado</t>
  </si>
  <si>
    <t>3.1.2</t>
  </si>
  <si>
    <t>Configuración de repositorio GitHub y entorno Django + SQLite</t>
  </si>
  <si>
    <t>Sprint 1</t>
  </si>
  <si>
    <t>3.1.3</t>
  </si>
  <si>
    <t>Diseño e implementación inicial del modelo de datos</t>
  </si>
  <si>
    <t>Sprint 2</t>
  </si>
  <si>
    <t>3.1.4</t>
  </si>
  <si>
    <t>Hito 2: Entorno y modelo de datos configurados</t>
  </si>
  <si>
    <t>Sprint 3</t>
  </si>
  <si>
    <t>En curso</t>
  </si>
  <si>
    <t>3.2</t>
  </si>
  <si>
    <t>Sprint 1: Registro y estado de vehículos</t>
  </si>
  <si>
    <t>3.2.1</t>
  </si>
  <si>
    <t>S1</t>
  </si>
  <si>
    <t>COSTO HH POR ROL</t>
  </si>
  <si>
    <t>3.2.2</t>
  </si>
  <si>
    <t>Backend: módulo Vehículos e inicio de sesión</t>
  </si>
  <si>
    <t>SM · Álvaro Caroca</t>
  </si>
  <si>
    <t>3.2.3</t>
  </si>
  <si>
    <t>Frontend web: ficha y estado del vehículo</t>
  </si>
  <si>
    <t>DW · Emmanuel Cabrera</t>
  </si>
  <si>
    <t>3.2.4</t>
  </si>
  <si>
    <t>Sprint Review y Retrospective</t>
  </si>
  <si>
    <t>DM · Felipe Castañeda</t>
  </si>
  <si>
    <t>3.2.5</t>
  </si>
  <si>
    <t>Hito 3: Módulo Vehículos operativo</t>
  </si>
  <si>
    <t>TOTAL HH</t>
  </si>
  <si>
    <t>3.3</t>
  </si>
  <si>
    <t>Sprint 2: Gestión de mantenciones</t>
  </si>
  <si>
    <t>3.3.1</t>
  </si>
  <si>
    <t>S2</t>
  </si>
  <si>
    <t>Nota: costo referencial de mercado para dimensionar el esfuerzo. El proyecto académico no tiene costo real (restricción Presupuesto $0 del DAS).</t>
  </si>
  <si>
    <t>3.3.2</t>
  </si>
  <si>
    <t>Backend: mantenciones, insumos y costos</t>
  </si>
  <si>
    <t>3.3.3</t>
  </si>
  <si>
    <t>Frontend web: registro de mantenciones e historial</t>
  </si>
  <si>
    <t>3.3.4</t>
  </si>
  <si>
    <t>3.3.5</t>
  </si>
  <si>
    <t>Hito 4: Módulo Mantenciones operativo</t>
  </si>
  <si>
    <t>3.4</t>
  </si>
  <si>
    <t>3.4.1</t>
  </si>
  <si>
    <t>S3</t>
  </si>
  <si>
    <t>3.4.2</t>
  </si>
  <si>
    <t>App móvil Android: consulta de estado (API REST)</t>
  </si>
  <si>
    <t>3.4.3</t>
  </si>
  <si>
    <t>Alertas de mantención por vencer y vencidas</t>
  </si>
  <si>
    <t>3.4.4</t>
  </si>
  <si>
    <t>3.4.5</t>
  </si>
  <si>
    <t>4</t>
  </si>
  <si>
    <t>4.1</t>
  </si>
  <si>
    <t>Integración de módulos web, móvil y backend</t>
  </si>
  <si>
    <t>F4</t>
  </si>
  <si>
    <t>4.2</t>
  </si>
  <si>
    <t>4.3</t>
  </si>
  <si>
    <t>4.4</t>
  </si>
  <si>
    <t>4.5</t>
  </si>
  <si>
    <t>Pruebas de proceso (checklist Scrum)</t>
  </si>
  <si>
    <t>4.6</t>
  </si>
  <si>
    <t>Retrospectiva final del proyecto</t>
  </si>
  <si>
    <t>Documentación de cierre</t>
  </si>
  <si>
    <t>5</t>
  </si>
  <si>
    <t>5.1</t>
  </si>
  <si>
    <t>Preparación de la presentación final (diapositivas y ensayo)</t>
  </si>
  <si>
    <t>F5</t>
  </si>
  <si>
    <t>5.2</t>
  </si>
  <si>
    <t>Elaboración del informe final consolidado</t>
  </si>
  <si>
    <t>5.3</t>
  </si>
  <si>
    <t>Presentación final y defensa ante el docente</t>
  </si>
  <si>
    <t>5.4</t>
  </si>
  <si>
    <t>TOTAL</t>
  </si>
  <si>
    <t>FUENTE DE INFORMACION www.mifuturo.cl / www.universia.cl</t>
  </si>
  <si>
    <t>INGENIERIA INFORMÁTICA</t>
  </si>
  <si>
    <t>EXPERIENCIA</t>
  </si>
  <si>
    <t>(- 2 años)</t>
  </si>
  <si>
    <t>(+2 años)</t>
  </si>
  <si>
    <t>RESPONS.</t>
  </si>
  <si>
    <t>SUELDO</t>
  </si>
  <si>
    <t>JP</t>
  </si>
  <si>
    <t>Jefe de Proyecto</t>
  </si>
  <si>
    <t>x</t>
  </si>
  <si>
    <t>AF</t>
  </si>
  <si>
    <t>Analista Funcional</t>
  </si>
  <si>
    <t>PG</t>
  </si>
  <si>
    <t>Programador</t>
  </si>
  <si>
    <t>DBA</t>
  </si>
  <si>
    <t>Desarrollador BD</t>
  </si>
  <si>
    <t>TS</t>
  </si>
  <si>
    <t>Testing</t>
  </si>
  <si>
    <t>DI</t>
  </si>
  <si>
    <t>Diseñador</t>
  </si>
  <si>
    <t>Hrs.Sem.</t>
  </si>
  <si>
    <t>HRS.Mens.</t>
  </si>
  <si>
    <t>Sueldo/180hrs</t>
  </si>
  <si>
    <t>PROMEDIO</t>
  </si>
  <si>
    <t>PROGRAMADOR</t>
  </si>
  <si>
    <t>INGENIERO</t>
  </si>
  <si>
    <t>DISEÑADOR</t>
  </si>
  <si>
    <t>Ingreso Primer Año</t>
  </si>
  <si>
    <t>Ingreso Experiencia</t>
  </si>
  <si>
    <t>ANALISTA PROGRAMADOR</t>
  </si>
  <si>
    <t>3.3.6</t>
  </si>
  <si>
    <t>Sprint 3: App móvil y disponibilidad del carro</t>
  </si>
  <si>
    <t>Disponibilidad del carro (botón “Cambiar”)</t>
  </si>
  <si>
    <t>Hito 5: App móvil y disponibilidad del carro operativas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</si>
  <si>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</si>
  <si>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</si>
  <si>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</si>
  <si>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</si>
  <si>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</si>
  <si>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</si>
  <si>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</si>
  <si>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</si>
  <si>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</si>
  <si>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</si>
  <si>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3.6.3</t>
  </si>
  <si>
    <t>3.6.4</t>
  </si>
  <si>
    <t>3.6.5</t>
  </si>
  <si>
    <t>Sprint 4: Seguridad, avisos y pruebas</t>
  </si>
  <si>
    <t>Seguridad de la API</t>
  </si>
  <si>
    <t>Avisos automáticos de mantención</t>
  </si>
  <si>
    <t>Pruebas del sistema</t>
  </si>
  <si>
    <t>Hito 6: Sistema asegurado y probado</t>
  </si>
  <si>
    <t>S4</t>
  </si>
  <si>
    <t>Sprint 5: Manual y corrección de errores</t>
  </si>
  <si>
    <t>Manual de usuario</t>
  </si>
  <si>
    <t>Corrección de errores menores</t>
  </si>
  <si>
    <t>Hito 7: Versión final lista para cierre</t>
  </si>
  <si>
    <t>Hito 8: Sistema validado</t>
  </si>
  <si>
    <t>Hito 9: Proyecto cerrado y documentado</t>
  </si>
  <si>
    <t>Hito 10: Proyecto Capstone finalizado</t>
  </si>
  <si>
    <t>S5</t>
  </si>
  <si>
    <t>Fase 3: Desarrollo (Sprints 0 a 5)</t>
  </si>
  <si>
    <t>Estado (11-10-2026)</t>
  </si>
  <si>
    <t>Planificado</t>
  </si>
  <si>
    <t>Sprint 4</t>
  </si>
  <si>
    <t>Sprint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</si>
</sst>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\$#,##0"/>
    <numFmt numFmtId="166" formatCode="0;\-0;\-"/>
    <numFmt numFmtId="167" formatCode="\$#,##0;&quot;($&quot;#,##0\);\-"/>
    <numFmt numFmtId="168" formatCode="_ \$* #,##0_ ;_ \$* \-#,##0_ ;_ \$* \-_ ;_ @_ "/>
  </numFmts>
  <fonts count="18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sz val="9"/>
      <color rgb="FF555555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sz val="8"/>
      <color rgb="FF999999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8"/>
      <color rgb="FF555555"/>
      <name val="Arial"/>
      <charset val="1"/>
    </font>
    <font>
      <b/>
      <i/>
      <sz val="10"/>
      <name val="Arial"/>
      <charset val="1"/>
    </font>
    <font>
      <i/>
      <sz val="8"/>
      <name val="Arial"/>
      <charset val="1"/>
    </font>
    <font>
      <sz val="10"/>
      <name val="Arial"/>
      <family val="2"/>
    </font>
    <font>
      <sz val="14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A5C"/>
        <bgColor rgb="FF333399"/>
      </patternFill>
    </fill>
    <fill>
      <patternFill patternType="solid">
        <fgColor rgb="FFD9E1F2"/>
        <bgColor rgb="FFEEF2F8"/>
      </patternFill>
    </fill>
    <fill>
      <patternFill patternType="solid">
        <fgColor rgb="FFEEF2F8"/>
        <bgColor rgb="FFFFFFFF"/>
      </patternFill>
    </fill>
    <fill>
      <patternFill patternType="solid">
        <fgColor theme="4"/>
        <bgColor rgb="FF808080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164" fontId="5" fillId="2" borderId="1" xfId="0" applyNumberFormat="1" applyFont="1" applyFill="1" applyBorder="1" applyAlignment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6" fillId="3" borderId="1" xfId="0" applyFont="1" applyFill="1" applyBorder="1" applyAlignment="1"/>
    <xf numFmtId="0" fontId="4" fillId="4" borderId="1" xfId="0" applyFont="1" applyFill="1" applyBorder="1" applyAlignment="1"/>
    <xf numFmtId="0" fontId="8" fillId="4" borderId="1" xfId="0" applyFont="1" applyFill="1" applyBorder="1" applyAlignment="1"/>
    <xf numFmtId="0" fontId="8" fillId="0" borderId="1" xfId="0" applyFont="1" applyBorder="1" applyAlignment="1"/>
    <xf numFmtId="165" fontId="8" fillId="0" borderId="1" xfId="0" applyNumberFormat="1" applyFont="1" applyBorder="1" applyAlignment="1"/>
    <xf numFmtId="1" fontId="9" fillId="0" borderId="1" xfId="0" applyNumberFormat="1" applyFont="1" applyBorder="1" applyAlignment="1"/>
    <xf numFmtId="166" fontId="8" fillId="0" borderId="1" xfId="0" applyNumberFormat="1" applyFont="1" applyBorder="1" applyAlignment="1"/>
    <xf numFmtId="166" fontId="4" fillId="0" borderId="1" xfId="0" applyNumberFormat="1" applyFont="1" applyBorder="1" applyAlignment="1"/>
    <xf numFmtId="167" fontId="8" fillId="0" borderId="1" xfId="0" applyNumberFormat="1" applyFont="1" applyBorder="1" applyAlignment="1"/>
    <xf numFmtId="0" fontId="10" fillId="0" borderId="0" xfId="0" applyFont="1" applyAlignment="1"/>
    <xf numFmtId="0" fontId="2" fillId="0" borderId="1" xfId="0" applyFont="1" applyBorder="1" applyAlignment="1"/>
    <xf numFmtId="0" fontId="11" fillId="0" borderId="1" xfId="0" applyFont="1" applyBorder="1" applyAlignment="1"/>
    <xf numFmtId="165" fontId="4" fillId="0" borderId="1" xfId="0" applyNumberFormat="1" applyFont="1" applyBorder="1" applyAlignment="1"/>
    <xf numFmtId="0" fontId="12" fillId="0" borderId="0" xfId="0" applyFont="1" applyAlignment="1"/>
    <xf numFmtId="165" fontId="12" fillId="0" borderId="0" xfId="0" applyNumberFormat="1" applyFont="1" applyAlignment="1"/>
    <xf numFmtId="0" fontId="4" fillId="5" borderId="1" xfId="0" applyFont="1" applyFill="1" applyBorder="1" applyAlignment="1"/>
    <xf numFmtId="0" fontId="8" fillId="5" borderId="1" xfId="0" applyFont="1" applyFill="1" applyBorder="1" applyAlignment="1"/>
    <xf numFmtId="1" fontId="8" fillId="0" borderId="1" xfId="0" applyNumberFormat="1" applyFont="1" applyBorder="1" applyAlignment="1"/>
    <xf numFmtId="0" fontId="8" fillId="3" borderId="1" xfId="0" applyFont="1" applyFill="1" applyBorder="1" applyAlignment="1"/>
    <xf numFmtId="1" fontId="4" fillId="0" borderId="1" xfId="0" applyNumberFormat="1" applyFont="1" applyBorder="1" applyAlignment="1"/>
    <xf numFmtId="1" fontId="4" fillId="4" borderId="1" xfId="0" applyNumberFormat="1" applyFont="1" applyFill="1" applyBorder="1" applyAlignment="1"/>
    <xf numFmtId="165" fontId="4" fillId="4" borderId="1" xfId="0" applyNumberFormat="1" applyFont="1" applyFill="1" applyBorder="1" applyAlignment="1"/>
    <xf numFmtId="0" fontId="15" fillId="6" borderId="2" xfId="0" applyFont="1" applyFill="1" applyBorder="1" applyAlignment="1">
      <alignment horizontal="center"/>
    </xf>
    <xf numFmtId="0" fontId="0" fillId="0" borderId="2" xfId="0" applyFont="1" applyBorder="1" applyAlignment="1"/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168" fontId="0" fillId="0" borderId="2" xfId="0" applyNumberFormat="1" applyBorder="1" applyAlignment="1"/>
    <xf numFmtId="0" fontId="15" fillId="6" borderId="2" xfId="0" applyFont="1" applyFill="1" applyBorder="1" applyAlignment="1"/>
    <xf numFmtId="0" fontId="16" fillId="0" borderId="2" xfId="0" applyFont="1" applyBorder="1" applyAlignment="1"/>
    <xf numFmtId="0" fontId="8" fillId="0" borderId="3" xfId="0" applyFont="1" applyFill="1" applyBorder="1" applyAlignment="1"/>
    <xf numFmtId="1" fontId="9" fillId="0" borderId="3" xfId="0" applyNumberFormat="1" applyFont="1" applyFill="1" applyBorder="1" applyAlignment="1"/>
    <xf numFmtId="0" fontId="13" fillId="0" borderId="1" xfId="0" applyFont="1" applyBorder="1" applyAlignment="1"/>
    <xf numFmtId="0" fontId="17" fillId="0" borderId="1" xfId="0" applyFont="1" applyBorder="1" applyAlignment="1"/>
    <xf numFmtId="0" fontId="8" fillId="0" borderId="1" xfId="0" applyFont="1" applyBorder="1" applyAlignment="1"/>
    <xf numFmtId="0" fontId="4" fillId="0" borderId="1" xfId="0" applyFont="1" applyBorder="1" applyAlignment="1"/>
    <xf numFmtId="0" fontId="6" fillId="3" borderId="1" xfId="0" applyFont="1" applyFill="1" applyBorder="1" applyAlignment="1"/>
    <xf numFmtId="0" fontId="0" fillId="0" borderId="0" xfId="0" applyFont="1" applyBorder="1" applyAlignment="1">
      <alignment horizontal="center"/>
    </xf>
    <xf numFmtId="0" fontId="14" fillId="0" borderId="0" xfId="0" applyFont="1" applyBorder="1" applyAlignment="1">
      <alignment horizontal="left"/>
    </xf>
    <xf numFmtId="0" fontId="15" fillId="6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1F2A5C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123840</xdr:colOff>
      <xdr:row>3</xdr:row>
      <xdr:rowOff>38160</xdr:rowOff>
    </xdr:from>
    <xdr:to>
      <xdr:col>16</xdr:col>
      <xdr:colOff>227880</xdr:colOff>
      <xdr:row>15</xdr:row>
      <xdr:rowOff>56520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7139880" y="628560"/>
          <a:ext cx="7350840" cy="21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123840</xdr:colOff>
      <xdr:row>15</xdr:row>
      <xdr:rowOff>28440</xdr:rowOff>
    </xdr:from>
    <xdr:to>
      <xdr:col>9</xdr:col>
      <xdr:colOff>751680</xdr:colOff>
      <xdr:row>21</xdr:row>
      <xdr:rowOff>75240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/>
        <a:stretch/>
      </xdr:blipFill>
      <xdr:spPr>
        <a:xfrm>
          <a:off x="7139880" y="2790720"/>
          <a:ext cx="2238120" cy="113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114480</xdr:colOff>
      <xdr:row>15</xdr:row>
      <xdr:rowOff>57240</xdr:rowOff>
    </xdr:from>
    <xdr:to>
      <xdr:col>16</xdr:col>
      <xdr:colOff>72360</xdr:colOff>
      <xdr:row>21</xdr:row>
      <xdr:rowOff>56520</xdr:rowOff>
    </xdr:to>
    <xdr:pic>
      <xdr:nvPicPr>
        <xdr:cNvPr id="4" name="Imagen 3"/>
        <xdr:cNvPicPr/>
      </xdr:nvPicPr>
      <xdr:blipFill>
        <a:blip xmlns:r="http://schemas.openxmlformats.org/officeDocument/2006/relationships" r:embed="rId3"/>
        <a:stretch/>
      </xdr:blipFill>
      <xdr:spPr>
        <a:xfrm>
          <a:off x="9546120" y="2819520"/>
          <a:ext cx="4789080" cy="108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15</xdr:col>
      <xdr:colOff>580320</xdr:colOff>
      <xdr:row>31</xdr:row>
      <xdr:rowOff>142200</xdr:rowOff>
    </xdr:to>
    <xdr:pic>
      <xdr:nvPicPr>
        <xdr:cNvPr id="5" name="Imagen 4"/>
        <xdr:cNvPicPr/>
      </xdr:nvPicPr>
      <xdr:blipFill>
        <a:blip xmlns:r="http://schemas.openxmlformats.org/officeDocument/2006/relationships" r:embed="rId4"/>
        <a:stretch/>
      </xdr:blipFill>
      <xdr:spPr>
        <a:xfrm>
          <a:off x="7016040" y="4438800"/>
          <a:ext cx="7021800" cy="140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9</xdr:col>
      <xdr:colOff>494640</xdr:colOff>
      <xdr:row>38</xdr:row>
      <xdr:rowOff>180000</xdr:rowOff>
    </xdr:to>
    <xdr:pic>
      <xdr:nvPicPr>
        <xdr:cNvPr id="6" name="Imagen 5"/>
        <xdr:cNvPicPr/>
      </xdr:nvPicPr>
      <xdr:blipFill>
        <a:blip xmlns:r="http://schemas.openxmlformats.org/officeDocument/2006/relationships" r:embed="rId5"/>
        <a:stretch/>
      </xdr:blipFill>
      <xdr:spPr>
        <a:xfrm>
          <a:off x="7016040" y="5886360"/>
          <a:ext cx="2104920" cy="1266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552600</xdr:colOff>
      <xdr:row>32</xdr:row>
      <xdr:rowOff>47520</xdr:rowOff>
    </xdr:from>
    <xdr:to>
      <xdr:col>16</xdr:col>
      <xdr:colOff>694800</xdr:colOff>
      <xdr:row>36</xdr:row>
      <xdr:rowOff>56160</xdr:rowOff>
    </xdr:to>
    <xdr:pic>
      <xdr:nvPicPr>
        <xdr:cNvPr id="7" name="Imagen 6"/>
        <xdr:cNvPicPr/>
      </xdr:nvPicPr>
      <xdr:blipFill>
        <a:blip xmlns:r="http://schemas.openxmlformats.org/officeDocument/2006/relationships" r:embed="rId6"/>
        <a:stretch/>
      </xdr:blipFill>
      <xdr:spPr>
        <a:xfrm>
          <a:off x="9178920" y="5933880"/>
          <a:ext cx="5778720" cy="732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581040</xdr:colOff>
      <xdr:row>36</xdr:row>
      <xdr:rowOff>104760</xdr:rowOff>
    </xdr:from>
    <xdr:to>
      <xdr:col>16</xdr:col>
      <xdr:colOff>734760</xdr:colOff>
      <xdr:row>38</xdr:row>
      <xdr:rowOff>151560</xdr:rowOff>
    </xdr:to>
    <xdr:pic>
      <xdr:nvPicPr>
        <xdr:cNvPr id="8" name="Imagen 7"/>
        <xdr:cNvPicPr/>
      </xdr:nvPicPr>
      <xdr:blipFill>
        <a:blip xmlns:r="http://schemas.openxmlformats.org/officeDocument/2006/relationships" r:embed="rId7"/>
        <a:stretch/>
      </xdr:blipFill>
      <xdr:spPr>
        <a:xfrm>
          <a:off x="9207360" y="6715080"/>
          <a:ext cx="5790240" cy="40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44</xdr:row>
      <xdr:rowOff>47520</xdr:rowOff>
    </xdr:from>
    <xdr:to>
      <xdr:col>17</xdr:col>
      <xdr:colOff>137880</xdr:colOff>
      <xdr:row>50</xdr:row>
      <xdr:rowOff>94320</xdr:rowOff>
    </xdr:to>
    <xdr:pic>
      <xdr:nvPicPr>
        <xdr:cNvPr id="9" name="Imagen 8"/>
        <xdr:cNvPicPr/>
      </xdr:nvPicPr>
      <xdr:blipFill>
        <a:blip xmlns:r="http://schemas.openxmlformats.org/officeDocument/2006/relationships" r:embed="rId8"/>
        <a:stretch/>
      </xdr:blipFill>
      <xdr:spPr>
        <a:xfrm>
          <a:off x="7016040" y="8105760"/>
          <a:ext cx="8189640" cy="1132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9360</xdr:colOff>
      <xdr:row>51</xdr:row>
      <xdr:rowOff>0</xdr:rowOff>
    </xdr:from>
    <xdr:to>
      <xdr:col>12</xdr:col>
      <xdr:colOff>627120</xdr:colOff>
      <xdr:row>59</xdr:row>
      <xdr:rowOff>180000</xdr:rowOff>
    </xdr:to>
    <xdr:pic>
      <xdr:nvPicPr>
        <xdr:cNvPr id="10" name="Imagen 10"/>
        <xdr:cNvPicPr/>
      </xdr:nvPicPr>
      <xdr:blipFill>
        <a:blip xmlns:r="http://schemas.openxmlformats.org/officeDocument/2006/relationships" r:embed="rId9"/>
        <a:stretch/>
      </xdr:blipFill>
      <xdr:spPr>
        <a:xfrm>
          <a:off x="7025400" y="9325080"/>
          <a:ext cx="4643640" cy="1627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71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8.6328125" defaultRowHeight="14.5" x14ac:dyDescent="0.35"/>
  <cols>
    <col min="1" max="1" width="7" style="1" customWidth="1"/>
    <col min="2" max="2" width="58" style="1" customWidth="1"/>
    <col min="3" max="6" width="6" style="1" customWidth="1"/>
    <col min="7" max="7" width="9" style="1" customWidth="1"/>
    <col min="8" max="8" width="12" style="1" customWidth="1"/>
    <col min="9" max="9" width="6.26953125" style="1" bestFit="1" customWidth="1"/>
    <col min="10" max="10" width="34" style="1" customWidth="1"/>
    <col min="11" max="11" width="30" style="1" customWidth="1"/>
    <col min="12" max="12" width="26" style="1" customWidth="1"/>
    <col min="13" max="13" width="17" style="1" bestFit="1" customWidth="1"/>
  </cols>
  <sheetData>
    <row r="1" spans="1:13" ht="17.25" customHeight="1" x14ac:dyDescent="0.4">
      <c r="A1" s="2" t="s">
        <v>0</v>
      </c>
    </row>
    <row r="2" spans="1:13" ht="15" customHeight="1" x14ac:dyDescent="0.35">
      <c r="A2" s="3" t="s">
        <v>1</v>
      </c>
    </row>
    <row r="3" spans="1:13" ht="15" customHeight="1" x14ac:dyDescent="0.35">
      <c r="A3" s="4" t="s">
        <v>2</v>
      </c>
    </row>
    <row r="4" spans="1:13" ht="15" customHeight="1" x14ac:dyDescent="0.35">
      <c r="J4" s="43" t="s">
        <v>3</v>
      </c>
      <c r="K4" s="43"/>
      <c r="L4" s="43"/>
      <c r="M4" s="6">
        <v>3</v>
      </c>
    </row>
    <row r="6" spans="1:13" ht="15" customHeight="1" x14ac:dyDescent="0.35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9" t="s">
        <v>13</v>
      </c>
      <c r="K6" s="9" t="s">
        <v>14</v>
      </c>
      <c r="L6" s="9" t="s">
        <v>15</v>
      </c>
      <c r="M6" s="9" t="s">
        <v>16</v>
      </c>
    </row>
    <row r="7" spans="1:13" ht="15" customHeight="1" x14ac:dyDescent="0.35">
      <c r="A7" s="10" t="s">
        <v>17</v>
      </c>
      <c r="B7" s="10" t="s">
        <v>18</v>
      </c>
      <c r="C7" s="11"/>
      <c r="D7" s="11"/>
      <c r="E7" s="11"/>
      <c r="F7" s="11"/>
      <c r="G7" s="11"/>
      <c r="H7" s="11"/>
      <c r="J7" s="12" t="s">
        <v>7</v>
      </c>
      <c r="K7" s="12" t="s">
        <v>19</v>
      </c>
      <c r="L7" s="12" t="s">
        <v>20</v>
      </c>
      <c r="M7" s="13">
        <f>'ANALISIS INGRESOS'!$G$6</f>
        <v>10833.333333333334</v>
      </c>
    </row>
    <row r="8" spans="1:13" ht="15" customHeight="1" x14ac:dyDescent="0.35">
      <c r="A8" s="12" t="s">
        <v>21</v>
      </c>
      <c r="B8" s="12" t="s">
        <v>22</v>
      </c>
      <c r="C8" s="14">
        <v>2</v>
      </c>
      <c r="D8" s="15">
        <f t="shared" ref="D8:D13" si="0">C8*$M$4</f>
        <v>6</v>
      </c>
      <c r="E8" s="15">
        <f>C8*$M$4</f>
        <v>6</v>
      </c>
      <c r="F8" s="15">
        <f>C8*$M$4</f>
        <v>6</v>
      </c>
      <c r="G8" s="16">
        <f t="shared" ref="G8:G14" si="1">SUM(D8:F8)</f>
        <v>18</v>
      </c>
      <c r="H8" s="17">
        <f>D8*'ANALISIS INGRESOS'!$G$6+E8*'ANALISIS INGRESOS'!$G$9+F8*'ANALISIS INGRESOS'!$G$8</f>
        <v>103333.33333333334</v>
      </c>
      <c r="I8" s="8" t="s">
        <v>23</v>
      </c>
      <c r="J8" s="12" t="s">
        <v>8</v>
      </c>
      <c r="K8" s="12" t="s">
        <v>24</v>
      </c>
      <c r="L8" s="12" t="s">
        <v>25</v>
      </c>
      <c r="M8" s="13">
        <f>'ANALISIS INGRESOS'!$G$9</f>
        <v>3611.1111111111113</v>
      </c>
    </row>
    <row r="9" spans="1:13" ht="15" customHeight="1" x14ac:dyDescent="0.35">
      <c r="A9" s="12" t="s">
        <v>26</v>
      </c>
      <c r="B9" s="12" t="s">
        <v>27</v>
      </c>
      <c r="C9" s="14">
        <v>2</v>
      </c>
      <c r="D9" s="15">
        <f t="shared" si="0"/>
        <v>6</v>
      </c>
      <c r="E9" s="15">
        <f>C9*$M$4</f>
        <v>6</v>
      </c>
      <c r="F9" s="15">
        <f>C9*$M$4</f>
        <v>6</v>
      </c>
      <c r="G9" s="16">
        <f t="shared" si="1"/>
        <v>18</v>
      </c>
      <c r="H9" s="17">
        <f>D9*'ANALISIS INGRESOS'!$G$6+E9*'ANALISIS INGRESOS'!$G$9+F9*'ANALISIS INGRESOS'!$G$8</f>
        <v>103333.33333333334</v>
      </c>
      <c r="I9" s="8" t="s">
        <v>23</v>
      </c>
      <c r="J9" s="12" t="s">
        <v>9</v>
      </c>
      <c r="K9" s="12" t="s">
        <v>28</v>
      </c>
      <c r="L9" s="12" t="s">
        <v>29</v>
      </c>
      <c r="M9" s="13">
        <f>'ANALISIS INGRESOS'!$G$8</f>
        <v>2777.7777777777778</v>
      </c>
    </row>
    <row r="10" spans="1:13" ht="15" customHeight="1" x14ac:dyDescent="0.35">
      <c r="A10" s="12" t="s">
        <v>30</v>
      </c>
      <c r="B10" s="12" t="s">
        <v>31</v>
      </c>
      <c r="C10" s="14">
        <v>3</v>
      </c>
      <c r="D10" s="15">
        <f t="shared" si="0"/>
        <v>9</v>
      </c>
      <c r="E10" s="15">
        <f>C10*$M$4</f>
        <v>9</v>
      </c>
      <c r="F10" s="15">
        <f>C10*$M$4</f>
        <v>9</v>
      </c>
      <c r="G10" s="16">
        <f t="shared" si="1"/>
        <v>27</v>
      </c>
      <c r="H10" s="17">
        <f>D10*'ANALISIS INGRESOS'!$G$6+E10*'ANALISIS INGRESOS'!$G$9+F10*'ANALISIS INGRESOS'!$G$8</f>
        <v>155000</v>
      </c>
      <c r="I10" s="8" t="s">
        <v>23</v>
      </c>
      <c r="J10" s="12" t="s">
        <v>32</v>
      </c>
      <c r="K10" s="12" t="s">
        <v>33</v>
      </c>
      <c r="L10" s="12" t="s">
        <v>34</v>
      </c>
      <c r="M10" s="13" t="s">
        <v>35</v>
      </c>
    </row>
    <row r="11" spans="1:13" ht="15" customHeight="1" x14ac:dyDescent="0.35">
      <c r="A11" s="12" t="s">
        <v>36</v>
      </c>
      <c r="B11" s="12" t="s">
        <v>37</v>
      </c>
      <c r="C11" s="14">
        <v>2</v>
      </c>
      <c r="D11" s="15">
        <f t="shared" si="0"/>
        <v>6</v>
      </c>
      <c r="E11" s="15">
        <f>C11*$M$4</f>
        <v>6</v>
      </c>
      <c r="F11" s="15">
        <f>C11*$M$4</f>
        <v>6</v>
      </c>
      <c r="G11" s="16">
        <f t="shared" si="1"/>
        <v>18</v>
      </c>
      <c r="H11" s="17">
        <f>D11*'ANALISIS INGRESOS'!$G$6+E11*'ANALISIS INGRESOS'!$G$9+F11*'ANALISIS INGRESOS'!$G$8</f>
        <v>103333.33333333334</v>
      </c>
      <c r="I11" s="8" t="s">
        <v>23</v>
      </c>
      <c r="J11" s="18" t="s">
        <v>38</v>
      </c>
    </row>
    <row r="12" spans="1:13" ht="15" customHeight="1" x14ac:dyDescent="0.35">
      <c r="A12" s="12" t="s">
        <v>39</v>
      </c>
      <c r="B12" s="12" t="s">
        <v>40</v>
      </c>
      <c r="C12" s="14">
        <v>2</v>
      </c>
      <c r="D12" s="15">
        <f t="shared" si="0"/>
        <v>6</v>
      </c>
      <c r="E12" s="15"/>
      <c r="F12" s="15"/>
      <c r="G12" s="16">
        <f t="shared" si="1"/>
        <v>6</v>
      </c>
      <c r="H12" s="17">
        <f>D12*'ANALISIS INGRESOS'!$G$6+E12*'ANALISIS INGRESOS'!$G$9+F12*'ANALISIS INGRESOS'!$G$8</f>
        <v>65000</v>
      </c>
      <c r="I12" s="8" t="s">
        <v>23</v>
      </c>
    </row>
    <row r="13" spans="1:13" ht="15" customHeight="1" x14ac:dyDescent="0.35">
      <c r="A13" s="12" t="s">
        <v>41</v>
      </c>
      <c r="B13" s="12" t="s">
        <v>42</v>
      </c>
      <c r="C13" s="14">
        <v>2</v>
      </c>
      <c r="D13" s="15">
        <f t="shared" si="0"/>
        <v>6</v>
      </c>
      <c r="E13" s="15">
        <f>C13*$M$4</f>
        <v>6</v>
      </c>
      <c r="F13" s="15">
        <f>C13*$M$4</f>
        <v>6</v>
      </c>
      <c r="G13" s="16">
        <f t="shared" si="1"/>
        <v>18</v>
      </c>
      <c r="H13" s="17">
        <f>D13*'ANALISIS INGRESOS'!$G$6+E13*'ANALISIS INGRESOS'!$G$9+F13*'ANALISIS INGRESOS'!$G$8</f>
        <v>103333.33333333334</v>
      </c>
      <c r="I13" s="8" t="s">
        <v>23</v>
      </c>
      <c r="J13" s="44" t="s">
        <v>43</v>
      </c>
      <c r="K13" s="44"/>
      <c r="L13" s="44"/>
      <c r="M13" s="9" t="s">
        <v>11</v>
      </c>
    </row>
    <row r="14" spans="1:13" ht="15" customHeight="1" x14ac:dyDescent="0.35">
      <c r="A14" s="19" t="s">
        <v>44</v>
      </c>
      <c r="B14" s="20" t="s">
        <v>45</v>
      </c>
      <c r="C14" s="14">
        <v>0</v>
      </c>
      <c r="D14" s="15"/>
      <c r="E14" s="15"/>
      <c r="F14" s="15"/>
      <c r="G14" s="16">
        <f t="shared" si="1"/>
        <v>0</v>
      </c>
      <c r="H14" s="17">
        <f>D14*'ANALISIS INGRESOS'!$G$6+E14*'ANALISIS INGRESOS'!$G$9+F14*'ANALISIS INGRESOS'!$G$8</f>
        <v>0</v>
      </c>
      <c r="I14" s="8" t="s">
        <v>23</v>
      </c>
      <c r="J14" s="42" t="s">
        <v>18</v>
      </c>
      <c r="K14" s="42"/>
      <c r="L14" s="42"/>
      <c r="M14" s="13">
        <f>SUMIF($I$7:$I$70,"F1",$H$7:$H$70)</f>
        <v>633333.33333333337</v>
      </c>
    </row>
    <row r="15" spans="1:13" ht="15" customHeight="1" x14ac:dyDescent="0.35">
      <c r="A15" s="10" t="s">
        <v>46</v>
      </c>
      <c r="B15" s="10" t="s">
        <v>47</v>
      </c>
      <c r="C15" s="11"/>
      <c r="D15" s="11"/>
      <c r="E15" s="11"/>
      <c r="F15" s="11"/>
      <c r="G15" s="11"/>
      <c r="H15" s="11"/>
      <c r="J15" s="42" t="s">
        <v>48</v>
      </c>
      <c r="K15" s="42"/>
      <c r="L15" s="42"/>
      <c r="M15" s="13">
        <f>SUMIF($I$7:$I$70,"F2",$H$7:$H$70)</f>
        <v>537500</v>
      </c>
    </row>
    <row r="16" spans="1:13" ht="15" customHeight="1" x14ac:dyDescent="0.35">
      <c r="A16" s="12" t="s">
        <v>49</v>
      </c>
      <c r="B16" s="12" t="s">
        <v>50</v>
      </c>
      <c r="C16" s="14">
        <v>2</v>
      </c>
      <c r="D16" s="15">
        <f>C16*$M$4</f>
        <v>6</v>
      </c>
      <c r="E16" s="15"/>
      <c r="F16" s="15"/>
      <c r="G16" s="16">
        <f>SUM(D16:F16)</f>
        <v>6</v>
      </c>
      <c r="H16" s="17">
        <f>D16*'ANALISIS INGRESOS'!$G$6+E16*'ANALISIS INGRESOS'!$G$9+F16*'ANALISIS INGRESOS'!$G$8</f>
        <v>65000</v>
      </c>
      <c r="I16" s="8" t="s">
        <v>51</v>
      </c>
      <c r="J16" s="42" t="s">
        <v>206</v>
      </c>
      <c r="K16" s="42"/>
      <c r="L16" s="42"/>
      <c r="M16" s="13">
        <f>SUMIF($I$7:$I$70,"S0",$H$7:$H$70)+SUMIF($I$7:$I$70,"S1",$H$7:$H$70)+SUMIF($I$7:$I$70,"S2",$H$7:$H$70)+SUMIF($I$7:$I$70,"S3",$H$7:$H$70)+SUMIF($I$7:$I$70,"S4",$H$7:$H$70)+SUMIF($I$7:$I$70,"S5",$H$7:$H$70)</f>
        <v>1430000</v>
      </c>
    </row>
    <row r="17" spans="1:13" ht="15" customHeight="1" x14ac:dyDescent="0.35">
      <c r="A17" s="12" t="s">
        <v>52</v>
      </c>
      <c r="B17" s="12" t="s">
        <v>53</v>
      </c>
      <c r="C17" s="14">
        <v>3</v>
      </c>
      <c r="D17" s="15">
        <f>C17*$M$4</f>
        <v>9</v>
      </c>
      <c r="E17" s="15">
        <f>C17*$M$4</f>
        <v>9</v>
      </c>
      <c r="F17" s="15">
        <f>C17*$M$4</f>
        <v>9</v>
      </c>
      <c r="G17" s="16">
        <f>SUM(D17:F17)</f>
        <v>27</v>
      </c>
      <c r="H17" s="17">
        <f>D17*'ANALISIS INGRESOS'!$G$6+E17*'ANALISIS INGRESOS'!$G$9+F17*'ANALISIS INGRESOS'!$G$8</f>
        <v>155000</v>
      </c>
      <c r="I17" s="8" t="s">
        <v>51</v>
      </c>
      <c r="J17" s="42" t="s">
        <v>54</v>
      </c>
      <c r="K17" s="42"/>
      <c r="L17" s="42"/>
      <c r="M17" s="13">
        <f>SUMIF($I$7:$I$70,"F4",$H$7:$H$70)</f>
        <v>225833.33333333337</v>
      </c>
    </row>
    <row r="18" spans="1:13" ht="15" customHeight="1" x14ac:dyDescent="0.35">
      <c r="A18" s="12" t="s">
        <v>55</v>
      </c>
      <c r="B18" s="12" t="s">
        <v>56</v>
      </c>
      <c r="C18" s="14">
        <v>2</v>
      </c>
      <c r="D18" s="15">
        <f>C18*$M$4</f>
        <v>6</v>
      </c>
      <c r="E18" s="15"/>
      <c r="F18" s="15"/>
      <c r="G18" s="16">
        <f>SUM(D18:F18)</f>
        <v>6</v>
      </c>
      <c r="H18" s="17">
        <f>D18*'ANALISIS INGRESOS'!$G$6+E18*'ANALISIS INGRESOS'!$G$9+F18*'ANALISIS INGRESOS'!$G$8</f>
        <v>65000</v>
      </c>
      <c r="I18" s="8" t="s">
        <v>51</v>
      </c>
      <c r="J18" s="42" t="s">
        <v>57</v>
      </c>
      <c r="K18" s="42"/>
      <c r="L18" s="42"/>
      <c r="M18" s="13">
        <f>SUMIF($I$7:$I$70,"F5",$H$7:$H$70)</f>
        <v>258333.33333333337</v>
      </c>
    </row>
    <row r="19" spans="1:13" ht="15" customHeight="1" x14ac:dyDescent="0.35">
      <c r="A19" s="12" t="s">
        <v>58</v>
      </c>
      <c r="B19" s="12" t="s">
        <v>59</v>
      </c>
      <c r="C19" s="14">
        <v>3</v>
      </c>
      <c r="D19" s="15">
        <f>C19*$M$4</f>
        <v>9</v>
      </c>
      <c r="E19" s="15"/>
      <c r="F19" s="15"/>
      <c r="G19" s="16">
        <f>SUM(D19:F19)</f>
        <v>9</v>
      </c>
      <c r="H19" s="17">
        <f>D19*'ANALISIS INGRESOS'!$G$6+E19*'ANALISIS INGRESOS'!$G$9+F19*'ANALISIS INGRESOS'!$G$8</f>
        <v>97500</v>
      </c>
      <c r="I19" s="8" t="s">
        <v>51</v>
      </c>
      <c r="J19" s="43" t="s">
        <v>60</v>
      </c>
      <c r="K19" s="43"/>
      <c r="L19" s="43"/>
      <c r="M19" s="21">
        <f>SUM(M14:M18)</f>
        <v>3085000.0000000005</v>
      </c>
    </row>
    <row r="20" spans="1:13" ht="15" customHeight="1" x14ac:dyDescent="0.35">
      <c r="A20" s="12" t="s">
        <v>61</v>
      </c>
      <c r="B20" s="12" t="s">
        <v>62</v>
      </c>
      <c r="C20" s="14">
        <v>3</v>
      </c>
      <c r="D20" s="15">
        <f>C20*$M$4</f>
        <v>9</v>
      </c>
      <c r="E20" s="15">
        <f>C20*$M$4</f>
        <v>9</v>
      </c>
      <c r="F20" s="15">
        <f>C20*$M$4</f>
        <v>9</v>
      </c>
      <c r="G20" s="16">
        <f>SUM(D20:F20)</f>
        <v>27</v>
      </c>
      <c r="H20" s="17">
        <f>D20*'ANALISIS INGRESOS'!$G$6+E20*'ANALISIS INGRESOS'!$G$9+F20*'ANALISIS INGRESOS'!$G$8</f>
        <v>155000</v>
      </c>
      <c r="I20" s="8" t="s">
        <v>51</v>
      </c>
      <c r="J20" s="22" t="s">
        <v>63</v>
      </c>
      <c r="M20" s="23">
        <f>H71</f>
        <v>3085000.0000000009</v>
      </c>
    </row>
    <row r="21" spans="1:13" ht="15" customHeight="1" x14ac:dyDescent="0.35">
      <c r="A21" s="10" t="s">
        <v>64</v>
      </c>
      <c r="B21" s="10" t="s">
        <v>65</v>
      </c>
      <c r="C21" s="11"/>
      <c r="D21" s="11"/>
      <c r="E21" s="11"/>
      <c r="F21" s="11"/>
      <c r="G21" s="11"/>
      <c r="H21" s="11"/>
    </row>
    <row r="22" spans="1:13" ht="15" customHeight="1" x14ac:dyDescent="0.35">
      <c r="A22" s="24" t="s">
        <v>66</v>
      </c>
      <c r="B22" s="24" t="s">
        <v>67</v>
      </c>
      <c r="C22" s="25"/>
      <c r="D22" s="25"/>
      <c r="E22" s="25"/>
      <c r="F22" s="25"/>
      <c r="G22" s="25"/>
      <c r="H22" s="25"/>
      <c r="J22" s="9" t="s">
        <v>68</v>
      </c>
      <c r="K22" s="9" t="s">
        <v>69</v>
      </c>
      <c r="L22" s="9" t="s">
        <v>207</v>
      </c>
      <c r="M22" s="9" t="s">
        <v>11</v>
      </c>
    </row>
    <row r="23" spans="1:13" ht="15" customHeight="1" x14ac:dyDescent="0.35">
      <c r="A23" s="12" t="s">
        <v>70</v>
      </c>
      <c r="B23" s="12" t="s">
        <v>71</v>
      </c>
      <c r="C23" s="14">
        <v>1</v>
      </c>
      <c r="D23" s="15">
        <f>C23*$M$4</f>
        <v>3</v>
      </c>
      <c r="E23" s="15">
        <f>C23*$M$4</f>
        <v>3</v>
      </c>
      <c r="F23" s="15">
        <f>C23*$M$4</f>
        <v>3</v>
      </c>
      <c r="G23" s="16">
        <f>SUM(D23:F23)</f>
        <v>9</v>
      </c>
      <c r="H23" s="17">
        <f>D23*'ANALISIS INGRESOS'!$G$6+E23*'ANALISIS INGRESOS'!$G$9+F23*'ANALISIS INGRESOS'!$G$8</f>
        <v>51666.666666666672</v>
      </c>
      <c r="I23" s="8" t="s">
        <v>72</v>
      </c>
      <c r="J23" s="12" t="s">
        <v>73</v>
      </c>
      <c r="K23" s="26">
        <f>SUMIF($I$7:$I$70,"S0",$G$7:$G$70)</f>
        <v>27</v>
      </c>
      <c r="L23" s="12" t="s">
        <v>74</v>
      </c>
      <c r="M23" s="13">
        <f>SUMIF($I$7:$I$70,"S0",$H$7:$H$70)</f>
        <v>111666.66666666667</v>
      </c>
    </row>
    <row r="24" spans="1:13" ht="15" customHeight="1" x14ac:dyDescent="0.35">
      <c r="A24" s="12" t="s">
        <v>75</v>
      </c>
      <c r="B24" s="12" t="s">
        <v>76</v>
      </c>
      <c r="C24" s="14">
        <v>2</v>
      </c>
      <c r="D24" s="15"/>
      <c r="E24" s="15">
        <f>C24*$M$4</f>
        <v>6</v>
      </c>
      <c r="F24" s="15">
        <f>C24*$M$4</f>
        <v>6</v>
      </c>
      <c r="G24" s="16">
        <f>SUM(D24:F24)</f>
        <v>12</v>
      </c>
      <c r="H24" s="17">
        <f>D24*'ANALISIS INGRESOS'!$G$6+E24*'ANALISIS INGRESOS'!$G$9+F24*'ANALISIS INGRESOS'!$G$8</f>
        <v>38333.333333333336</v>
      </c>
      <c r="I24" s="8" t="s">
        <v>72</v>
      </c>
      <c r="J24" s="12" t="s">
        <v>77</v>
      </c>
      <c r="K24" s="26">
        <f>SUMIF($I$7:$I$70,"S1",$G$7:$G$70)</f>
        <v>48</v>
      </c>
      <c r="L24" s="12" t="s">
        <v>74</v>
      </c>
      <c r="M24" s="13">
        <f>SUMIF($I$7:$I$70,"S1",$H$7:$H$70)</f>
        <v>230833.33333333334</v>
      </c>
    </row>
    <row r="25" spans="1:13" ht="15" customHeight="1" x14ac:dyDescent="0.35">
      <c r="A25" s="12" t="s">
        <v>78</v>
      </c>
      <c r="B25" s="12" t="s">
        <v>79</v>
      </c>
      <c r="C25" s="14">
        <v>2</v>
      </c>
      <c r="D25" s="15"/>
      <c r="E25" s="15">
        <f>C25*$M$4</f>
        <v>6</v>
      </c>
      <c r="F25" s="15"/>
      <c r="G25" s="16">
        <f>SUM(D25:F25)</f>
        <v>6</v>
      </c>
      <c r="H25" s="17">
        <f>D25*'ANALISIS INGRESOS'!$G$6+E25*'ANALISIS INGRESOS'!$G$9+F25*'ANALISIS INGRESOS'!$G$8</f>
        <v>21666.666666666668</v>
      </c>
      <c r="I25" s="8" t="s">
        <v>72</v>
      </c>
      <c r="J25" s="12" t="s">
        <v>80</v>
      </c>
      <c r="K25" s="26">
        <f>SUMIF($I$7:$I$70,"S2",$G$7:$G$70)</f>
        <v>60</v>
      </c>
      <c r="L25" s="12" t="s">
        <v>84</v>
      </c>
      <c r="M25" s="13">
        <f>SUMIF($I$7:$I$70,"S2",$H$7:$H$70)</f>
        <v>247500</v>
      </c>
    </row>
    <row r="26" spans="1:13" ht="15" customHeight="1" x14ac:dyDescent="0.35">
      <c r="A26" s="19" t="s">
        <v>81</v>
      </c>
      <c r="B26" s="20" t="s">
        <v>82</v>
      </c>
      <c r="C26" s="14">
        <v>0</v>
      </c>
      <c r="D26" s="15"/>
      <c r="E26" s="15"/>
      <c r="F26" s="15"/>
      <c r="G26" s="16">
        <f>SUM(D26:F26)</f>
        <v>0</v>
      </c>
      <c r="H26" s="17">
        <f>D26*'ANALISIS INGRESOS'!$G$6+E26*'ANALISIS INGRESOS'!$G$9+F26*'ANALISIS INGRESOS'!$G$8</f>
        <v>0</v>
      </c>
      <c r="I26" s="8" t="s">
        <v>72</v>
      </c>
      <c r="J26" s="12" t="s">
        <v>83</v>
      </c>
      <c r="K26" s="26">
        <f>SUMIF($I$7:$I$70,"S3",$G$7:$G$70)</f>
        <v>54</v>
      </c>
      <c r="L26" s="12" t="s">
        <v>208</v>
      </c>
      <c r="M26" s="13">
        <f>SUMIF($I$7:$I$70,"S3",$H$7:$H$70)</f>
        <v>242500.00000000003</v>
      </c>
    </row>
    <row r="27" spans="1:13" ht="15" customHeight="1" x14ac:dyDescent="0.35">
      <c r="A27" s="24" t="s">
        <v>85</v>
      </c>
      <c r="B27" s="24" t="s">
        <v>86</v>
      </c>
      <c r="C27" s="25"/>
      <c r="D27" s="25"/>
      <c r="E27" s="25"/>
      <c r="F27" s="25"/>
      <c r="G27" s="25"/>
      <c r="H27" s="25"/>
      <c r="J27" s="12" t="s">
        <v>209</v>
      </c>
      <c r="K27" s="26">
        <f>SUMIF($I$7:$I$70,"S4",$G$7:$G$70)</f>
        <v>81</v>
      </c>
      <c r="L27" s="12" t="s">
        <v>208</v>
      </c>
      <c r="M27" s="13">
        <f>SUMIF($I$7:$I$70,"S4",$H$7:$H$70)</f>
        <v>327500</v>
      </c>
    </row>
    <row r="28" spans="1:13" ht="15" customHeight="1" x14ac:dyDescent="0.35">
      <c r="A28" s="12" t="s">
        <v>87</v>
      </c>
      <c r="B28" s="12" t="s">
        <v>71</v>
      </c>
      <c r="C28" s="14">
        <v>1</v>
      </c>
      <c r="D28" s="15">
        <f>C28*$M$4</f>
        <v>3</v>
      </c>
      <c r="E28" s="15">
        <f>C28*$M$4</f>
        <v>3</v>
      </c>
      <c r="F28" s="15">
        <f>C28*$M$4</f>
        <v>3</v>
      </c>
      <c r="G28" s="16">
        <f>SUM(D28:F28)</f>
        <v>9</v>
      </c>
      <c r="H28" s="17">
        <f>D28*'ANALISIS INGRESOS'!$G$6+E28*'ANALISIS INGRESOS'!$G$9+F28*'ANALISIS INGRESOS'!$G$8</f>
        <v>51666.666666666672</v>
      </c>
      <c r="I28" s="8" t="s">
        <v>88</v>
      </c>
      <c r="J28" s="12" t="s">
        <v>210</v>
      </c>
      <c r="K28" s="26">
        <f>SUMIF($I$7:$I$70,"S5",$G$7:$G$70)</f>
        <v>63</v>
      </c>
      <c r="L28" s="12" t="s">
        <v>208</v>
      </c>
      <c r="M28" s="13">
        <f>SUMIF($I$7:$I$70,"S5",$H$7:$H$70)</f>
        <v>270000</v>
      </c>
    </row>
    <row r="29" spans="1:13" ht="15" customHeight="1" x14ac:dyDescent="0.35">
      <c r="A29" s="12" t="s">
        <v>90</v>
      </c>
      <c r="B29" s="12" t="s">
        <v>91</v>
      </c>
      <c r="C29" s="14">
        <v>4</v>
      </c>
      <c r="D29" s="15"/>
      <c r="E29" s="15">
        <f>C29*$M$4</f>
        <v>12</v>
      </c>
      <c r="F29" s="15"/>
      <c r="G29" s="16">
        <f>SUM(D29:F29)</f>
        <v>12</v>
      </c>
      <c r="H29" s="17">
        <f>D29*'ANALISIS INGRESOS'!$G$6+E29*'ANALISIS INGRESOS'!$G$9+F29*'ANALISIS INGRESOS'!$G$8</f>
        <v>43333.333333333336</v>
      </c>
      <c r="I29" s="8" t="s">
        <v>88</v>
      </c>
    </row>
    <row r="30" spans="1:13" ht="15" customHeight="1" x14ac:dyDescent="0.35">
      <c r="A30" s="12" t="s">
        <v>93</v>
      </c>
      <c r="B30" s="12" t="s">
        <v>94</v>
      </c>
      <c r="C30" s="14">
        <v>3</v>
      </c>
      <c r="D30" s="15"/>
      <c r="E30" s="15">
        <f>C30*$M$4</f>
        <v>9</v>
      </c>
      <c r="F30" s="15"/>
      <c r="G30" s="16">
        <f>SUM(D30:F30)</f>
        <v>9</v>
      </c>
      <c r="H30" s="17">
        <f>D30*'ANALISIS INGRESOS'!$G$6+E30*'ANALISIS INGRESOS'!$G$9+F30*'ANALISIS INGRESOS'!$G$8</f>
        <v>32500</v>
      </c>
      <c r="I30" s="8" t="s">
        <v>88</v>
      </c>
      <c r="J30" s="9" t="s">
        <v>89</v>
      </c>
      <c r="K30" s="9" t="s">
        <v>69</v>
      </c>
      <c r="L30" s="27"/>
      <c r="M30" s="9" t="s">
        <v>11</v>
      </c>
    </row>
    <row r="31" spans="1:13" ht="15" customHeight="1" x14ac:dyDescent="0.35">
      <c r="A31" s="12" t="s">
        <v>96</v>
      </c>
      <c r="B31" s="12" t="s">
        <v>97</v>
      </c>
      <c r="C31" s="14">
        <v>2</v>
      </c>
      <c r="D31" s="15">
        <f>C31*$M$4</f>
        <v>6</v>
      </c>
      <c r="E31" s="15">
        <f>C31*$M$4</f>
        <v>6</v>
      </c>
      <c r="F31" s="15">
        <f>C31*$M$4</f>
        <v>6</v>
      </c>
      <c r="G31" s="16">
        <f>SUM(D31:F31)</f>
        <v>18</v>
      </c>
      <c r="H31" s="17">
        <f>D31*'ANALISIS INGRESOS'!$G$6+E31*'ANALISIS INGRESOS'!$G$9+F31*'ANALISIS INGRESOS'!$G$8</f>
        <v>103333.33333333334</v>
      </c>
      <c r="I31" s="8" t="s">
        <v>88</v>
      </c>
      <c r="J31" s="12" t="s">
        <v>92</v>
      </c>
      <c r="K31" s="26">
        <f>D71</f>
        <v>150</v>
      </c>
      <c r="L31" s="12"/>
      <c r="M31" s="13">
        <f>D71*'ANALISIS INGRESOS'!$G$6</f>
        <v>1625000</v>
      </c>
    </row>
    <row r="32" spans="1:13" ht="15" customHeight="1" x14ac:dyDescent="0.35">
      <c r="A32" s="19" t="s">
        <v>99</v>
      </c>
      <c r="B32" s="20" t="s">
        <v>100</v>
      </c>
      <c r="C32" s="14">
        <v>0</v>
      </c>
      <c r="D32" s="15"/>
      <c r="E32" s="15"/>
      <c r="F32" s="15"/>
      <c r="G32" s="16">
        <f>SUM(D32:F32)</f>
        <v>0</v>
      </c>
      <c r="H32" s="17">
        <f>D32*'ANALISIS INGRESOS'!$G$6+E32*'ANALISIS INGRESOS'!$G$9+F32*'ANALISIS INGRESOS'!$G$8</f>
        <v>0</v>
      </c>
      <c r="I32" s="8" t="s">
        <v>88</v>
      </c>
      <c r="J32" s="12" t="s">
        <v>95</v>
      </c>
      <c r="K32" s="26">
        <f>E71</f>
        <v>252</v>
      </c>
      <c r="L32" s="12"/>
      <c r="M32" s="13">
        <f>E71*'ANALISIS INGRESOS'!$G$9</f>
        <v>910000</v>
      </c>
    </row>
    <row r="33" spans="1:13" ht="15" customHeight="1" x14ac:dyDescent="0.35">
      <c r="A33" s="24" t="s">
        <v>102</v>
      </c>
      <c r="B33" s="24" t="s">
        <v>103</v>
      </c>
      <c r="C33" s="25"/>
      <c r="D33" s="25"/>
      <c r="E33" s="25"/>
      <c r="F33" s="25"/>
      <c r="G33" s="25"/>
      <c r="H33" s="25"/>
      <c r="J33" s="12" t="s">
        <v>98</v>
      </c>
      <c r="K33" s="26">
        <f>F71</f>
        <v>198</v>
      </c>
      <c r="L33" s="12"/>
      <c r="M33" s="13">
        <f>F71*'ANALISIS INGRESOS'!$G$8</f>
        <v>550000</v>
      </c>
    </row>
    <row r="34" spans="1:13" ht="15" customHeight="1" x14ac:dyDescent="0.35">
      <c r="A34" s="12" t="s">
        <v>104</v>
      </c>
      <c r="B34" s="12" t="s">
        <v>71</v>
      </c>
      <c r="C34" s="14">
        <v>1</v>
      </c>
      <c r="D34" s="15">
        <f>C34*$M$4</f>
        <v>3</v>
      </c>
      <c r="E34" s="15">
        <f>C34*$M$4</f>
        <v>3</v>
      </c>
      <c r="F34" s="15">
        <f>C34*$M$4</f>
        <v>3</v>
      </c>
      <c r="G34" s="16">
        <f t="shared" ref="G34:G39" si="2">SUM(D34:F34)</f>
        <v>9</v>
      </c>
      <c r="H34" s="17">
        <f>D34*'ANALISIS INGRESOS'!$G$6+E34*'ANALISIS INGRESOS'!$G$9+F34*'ANALISIS INGRESOS'!$G$8</f>
        <v>51666.666666666672</v>
      </c>
      <c r="I34" s="8" t="s">
        <v>105</v>
      </c>
      <c r="J34" s="5" t="s">
        <v>101</v>
      </c>
      <c r="K34" s="28">
        <f>SUM(K31:K33)</f>
        <v>600</v>
      </c>
      <c r="L34" s="12"/>
      <c r="M34" s="21">
        <f>SUM(M31:M33)</f>
        <v>3085000</v>
      </c>
    </row>
    <row r="35" spans="1:13" ht="15" customHeight="1" x14ac:dyDescent="0.35">
      <c r="A35" s="12" t="s">
        <v>107</v>
      </c>
      <c r="B35" s="12" t="s">
        <v>108</v>
      </c>
      <c r="C35" s="14">
        <v>5</v>
      </c>
      <c r="D35" s="15"/>
      <c r="E35" s="15">
        <f>C35*$M$4</f>
        <v>15</v>
      </c>
      <c r="F35" s="15"/>
      <c r="G35" s="16">
        <f t="shared" si="2"/>
        <v>15</v>
      </c>
      <c r="H35" s="17">
        <f>D35*'ANALISIS INGRESOS'!$G$6+E35*'ANALISIS INGRESOS'!$G$9+F35*'ANALISIS INGRESOS'!$G$8</f>
        <v>54166.666666666672</v>
      </c>
      <c r="I35" s="8" t="s">
        <v>105</v>
      </c>
    </row>
    <row r="36" spans="1:13" ht="15" customHeight="1" x14ac:dyDescent="0.35">
      <c r="A36" s="12" t="s">
        <v>109</v>
      </c>
      <c r="B36" s="12" t="s">
        <v>110</v>
      </c>
      <c r="C36" s="14">
        <v>3</v>
      </c>
      <c r="D36" s="15"/>
      <c r="E36" s="15">
        <f>C36*$M$4</f>
        <v>9</v>
      </c>
      <c r="F36" s="15"/>
      <c r="G36" s="16">
        <f t="shared" si="2"/>
        <v>9</v>
      </c>
      <c r="H36" s="17">
        <f>D36*'ANALISIS INGRESOS'!$G$6+E36*'ANALISIS INGRESOS'!$G$9+F36*'ANALISIS INGRESOS'!$G$8</f>
        <v>32500</v>
      </c>
      <c r="I36" s="8" t="s">
        <v>105</v>
      </c>
      <c r="J36" s="18" t="s">
        <v>106</v>
      </c>
    </row>
    <row r="37" spans="1:13" ht="15" customHeight="1" x14ac:dyDescent="0.35">
      <c r="A37" s="12" t="s">
        <v>111</v>
      </c>
      <c r="B37" s="12" t="s">
        <v>120</v>
      </c>
      <c r="C37" s="14">
        <v>3</v>
      </c>
      <c r="D37" s="15"/>
      <c r="E37" s="15">
        <f>C37*$M$4</f>
        <v>9</v>
      </c>
      <c r="F37" s="15">
        <f>C37*$M$4</f>
        <v>9</v>
      </c>
      <c r="G37" s="16">
        <f t="shared" si="2"/>
        <v>18</v>
      </c>
      <c r="H37" s="17">
        <f>D37*'ANALISIS INGRESOS'!$G$6+E37*'ANALISIS INGRESOS'!$G$9+F37*'ANALISIS INGRESOS'!$G$8</f>
        <v>57500</v>
      </c>
      <c r="I37" s="8" t="s">
        <v>105</v>
      </c>
    </row>
    <row r="38" spans="1:13" ht="15" customHeight="1" x14ac:dyDescent="0.35">
      <c r="A38" s="12" t="s">
        <v>112</v>
      </c>
      <c r="B38" s="12" t="s">
        <v>97</v>
      </c>
      <c r="C38" s="14">
        <v>1</v>
      </c>
      <c r="D38" s="15">
        <f>C38*$M$4</f>
        <v>3</v>
      </c>
      <c r="E38" s="15">
        <f>C38*$M$4</f>
        <v>3</v>
      </c>
      <c r="F38" s="15">
        <f>C38*$M$4</f>
        <v>3</v>
      </c>
      <c r="G38" s="16">
        <f t="shared" si="2"/>
        <v>9</v>
      </c>
      <c r="H38" s="17">
        <f>D38*'ANALISIS INGRESOS'!$G$6+E38*'ANALISIS INGRESOS'!$G$9+F38*'ANALISIS INGRESOS'!$G$8</f>
        <v>51666.666666666672</v>
      </c>
      <c r="I38" s="8" t="s">
        <v>105</v>
      </c>
    </row>
    <row r="39" spans="1:13" ht="15" customHeight="1" x14ac:dyDescent="0.35">
      <c r="A39" s="41" t="s">
        <v>175</v>
      </c>
      <c r="B39" s="20" t="s">
        <v>113</v>
      </c>
      <c r="C39" s="14">
        <v>0</v>
      </c>
      <c r="D39" s="15"/>
      <c r="E39" s="15"/>
      <c r="F39" s="15"/>
      <c r="G39" s="16">
        <f t="shared" si="2"/>
        <v>0</v>
      </c>
      <c r="H39" s="17">
        <f>D39*'ANALISIS INGRESOS'!$G$6+E39*'ANALISIS INGRESOS'!$G$9+F39*'ANALISIS INGRESOS'!$G$8</f>
        <v>0</v>
      </c>
      <c r="I39" s="8" t="s">
        <v>105</v>
      </c>
    </row>
    <row r="40" spans="1:13" ht="15" customHeight="1" x14ac:dyDescent="0.35">
      <c r="A40" s="24" t="s">
        <v>114</v>
      </c>
      <c r="B40" s="24" t="s">
        <v>176</v>
      </c>
      <c r="C40" s="25"/>
      <c r="D40" s="25"/>
      <c r="E40" s="25"/>
      <c r="F40" s="25"/>
      <c r="G40" s="25"/>
      <c r="H40" s="25"/>
    </row>
    <row r="41" spans="1:13" ht="15" customHeight="1" x14ac:dyDescent="0.35">
      <c r="A41" s="12" t="s">
        <v>115</v>
      </c>
      <c r="B41" s="12" t="s">
        <v>71</v>
      </c>
      <c r="C41" s="14">
        <v>1</v>
      </c>
      <c r="D41" s="15">
        <f>C41*$M$4</f>
        <v>3</v>
      </c>
      <c r="E41" s="15">
        <f>C41*$M$4</f>
        <v>3</v>
      </c>
      <c r="F41" s="15">
        <f>C41*$M$4</f>
        <v>3</v>
      </c>
      <c r="G41" s="16">
        <f>SUM(D41:F41)</f>
        <v>9</v>
      </c>
      <c r="H41" s="17">
        <f>D41*'ANALISIS INGRESOS'!$G$6+E41*'ANALISIS INGRESOS'!$G$9+F41*'ANALISIS INGRESOS'!$G$8</f>
        <v>51666.666666666672</v>
      </c>
      <c r="I41" s="8" t="s">
        <v>116</v>
      </c>
    </row>
    <row r="42" spans="1:13" ht="15" customHeight="1" x14ac:dyDescent="0.35">
      <c r="A42" s="12" t="s">
        <v>117</v>
      </c>
      <c r="B42" s="12" t="s">
        <v>118</v>
      </c>
      <c r="C42" s="14">
        <v>4</v>
      </c>
      <c r="D42" s="15"/>
      <c r="E42" s="15">
        <f>C42*$M$4</f>
        <v>12</v>
      </c>
      <c r="F42" s="15">
        <f>C42*$M$4</f>
        <v>12</v>
      </c>
      <c r="G42" s="16">
        <f>SUM(D42:F42)</f>
        <v>24</v>
      </c>
      <c r="H42" s="17">
        <f>D42*'ANALISIS INGRESOS'!$G$6+E42*'ANALISIS INGRESOS'!$G$9+F42*'ANALISIS INGRESOS'!$G$8</f>
        <v>76666.666666666672</v>
      </c>
      <c r="I42" s="8" t="s">
        <v>116</v>
      </c>
    </row>
    <row r="43" spans="1:13" ht="15" customHeight="1" x14ac:dyDescent="0.35">
      <c r="A43" s="38" t="s">
        <v>119</v>
      </c>
      <c r="B43" s="38" t="s">
        <v>177</v>
      </c>
      <c r="C43" s="39">
        <v>1</v>
      </c>
      <c r="E43" s="15">
        <f>C43*$M$4</f>
        <v>3</v>
      </c>
      <c r="G43" s="16">
        <f>SUM(D43:F43)</f>
        <v>3</v>
      </c>
      <c r="H43" s="17">
        <f>D43*'ANALISIS INGRESOS'!$G$6+E43*'ANALISIS INGRESOS'!$G$9+F43*'ANALISIS INGRESOS'!$G$8</f>
        <v>10833.333333333334</v>
      </c>
      <c r="I43" s="8" t="s">
        <v>116</v>
      </c>
    </row>
    <row r="44" spans="1:13" ht="15" customHeight="1" x14ac:dyDescent="0.35">
      <c r="A44" s="12" t="s">
        <v>121</v>
      </c>
      <c r="B44" s="12" t="s">
        <v>97</v>
      </c>
      <c r="C44" s="14">
        <v>2</v>
      </c>
      <c r="D44" s="15">
        <f>C44*$M$4</f>
        <v>6</v>
      </c>
      <c r="E44" s="15">
        <f>C44*$M$4</f>
        <v>6</v>
      </c>
      <c r="F44" s="15">
        <f>C44*$M$4</f>
        <v>6</v>
      </c>
      <c r="G44" s="16">
        <f>SUM(D44:F44)</f>
        <v>18</v>
      </c>
      <c r="H44" s="17">
        <f>D44*'ANALISIS INGRESOS'!$G$6+E44*'ANALISIS INGRESOS'!$G$9+F44*'ANALISIS INGRESOS'!$G$8</f>
        <v>103333.33333333334</v>
      </c>
      <c r="I44" s="8" t="s">
        <v>116</v>
      </c>
    </row>
    <row r="45" spans="1:13" ht="15" customHeight="1" x14ac:dyDescent="0.35">
      <c r="A45" s="41" t="s">
        <v>122</v>
      </c>
      <c r="B45" s="20" t="s">
        <v>178</v>
      </c>
      <c r="C45" s="14">
        <v>0</v>
      </c>
      <c r="D45" s="15">
        <f>C45*$M$4</f>
        <v>0</v>
      </c>
      <c r="E45" s="15">
        <f>C45*$M$4</f>
        <v>0</v>
      </c>
      <c r="F45" s="15">
        <f>C45*$M$4</f>
        <v>0</v>
      </c>
      <c r="G45" s="16">
        <f>SUM(D45:F45)</f>
        <v>0</v>
      </c>
      <c r="H45" s="17">
        <f>D45*'ANALISIS INGRESOS'!$G$6+E45*'ANALISIS INGRESOS'!$G$9+F45*'ANALISIS INGRESOS'!$G$8</f>
        <v>0</v>
      </c>
      <c r="I45" s="8" t="s">
        <v>116</v>
      </c>
    </row>
    <row r="46" spans="1:13" ht="15" customHeight="1" x14ac:dyDescent="0.35">
      <c r="A46" s="24" t="s">
        <v>179</v>
      </c>
      <c r="B46" s="24" t="s">
        <v>192</v>
      </c>
      <c r="C46" s="25"/>
      <c r="D46" s="25"/>
      <c r="E46" s="25"/>
      <c r="F46" s="25"/>
      <c r="G46" s="25"/>
      <c r="H46" s="25"/>
      <c r="I46" s="8"/>
    </row>
    <row r="47" spans="1:13" ht="15" customHeight="1" x14ac:dyDescent="0.35">
      <c r="A47" s="40" t="s">
        <v>180</v>
      </c>
      <c r="B47" s="12" t="s">
        <v>71</v>
      </c>
      <c r="C47" s="14">
        <v>1</v>
      </c>
      <c r="D47" s="15">
        <f>C47*$M$4</f>
        <v>3</v>
      </c>
      <c r="E47" s="15">
        <f t="shared" ref="E47:E52" si="3">C47*$M$4</f>
        <v>3</v>
      </c>
      <c r="F47" s="15">
        <f t="shared" ref="F47:F52" si="4">C47*$M$4</f>
        <v>3</v>
      </c>
      <c r="G47" s="16">
        <f t="shared" ref="G47:G52" si="5">SUM(D47:F47)</f>
        <v>9</v>
      </c>
      <c r="H47" s="17">
        <f>D47*'ANALISIS INGRESOS'!$G$6+E47*'ANALISIS INGRESOS'!$G$9+F47*'ANALISIS INGRESOS'!$G$8</f>
        <v>51666.666666666672</v>
      </c>
      <c r="I47" s="8" t="s">
        <v>197</v>
      </c>
    </row>
    <row r="48" spans="1:13" ht="15" customHeight="1" x14ac:dyDescent="0.35">
      <c r="A48" s="40" t="s">
        <v>181</v>
      </c>
      <c r="B48" s="12" t="s">
        <v>193</v>
      </c>
      <c r="C48" s="14">
        <v>3</v>
      </c>
      <c r="D48" s="15"/>
      <c r="E48" s="15">
        <f t="shared" si="3"/>
        <v>9</v>
      </c>
      <c r="F48" s="15">
        <f t="shared" si="4"/>
        <v>9</v>
      </c>
      <c r="G48" s="16">
        <f t="shared" si="5"/>
        <v>18</v>
      </c>
      <c r="H48" s="17">
        <f>D48*'ANALISIS INGRESOS'!$G$6+E48*'ANALISIS INGRESOS'!$G$9+F48*'ANALISIS INGRESOS'!$G$8</f>
        <v>57500</v>
      </c>
      <c r="I48" s="8" t="s">
        <v>197</v>
      </c>
    </row>
    <row r="49" spans="1:9" ht="15" customHeight="1" x14ac:dyDescent="0.35">
      <c r="A49" s="40" t="s">
        <v>182</v>
      </c>
      <c r="B49" s="12" t="s">
        <v>194</v>
      </c>
      <c r="C49" s="14">
        <v>3</v>
      </c>
      <c r="D49" s="15"/>
      <c r="E49" s="15">
        <f t="shared" si="3"/>
        <v>9</v>
      </c>
      <c r="F49" s="15">
        <f t="shared" si="4"/>
        <v>9</v>
      </c>
      <c r="G49" s="16">
        <f t="shared" si="5"/>
        <v>18</v>
      </c>
      <c r="H49" s="17">
        <f>D49*'ANALISIS INGRESOS'!$G$6+E49*'ANALISIS INGRESOS'!$G$9+F49*'ANALISIS INGRESOS'!$G$8</f>
        <v>57500</v>
      </c>
      <c r="I49" s="8" t="s">
        <v>197</v>
      </c>
    </row>
    <row r="50" spans="1:9" ht="15" customHeight="1" x14ac:dyDescent="0.35">
      <c r="A50" s="40" t="s">
        <v>183</v>
      </c>
      <c r="B50" s="12" t="s">
        <v>195</v>
      </c>
      <c r="C50" s="14">
        <v>3</v>
      </c>
      <c r="D50" s="15"/>
      <c r="E50" s="15">
        <f t="shared" si="3"/>
        <v>9</v>
      </c>
      <c r="F50" s="15">
        <f t="shared" si="4"/>
        <v>9</v>
      </c>
      <c r="G50" s="16">
        <f t="shared" si="5"/>
        <v>18</v>
      </c>
      <c r="H50" s="17">
        <f>D50*'ANALISIS INGRESOS'!$G$6+E50*'ANALISIS INGRESOS'!$G$9+F50*'ANALISIS INGRESOS'!$G$8</f>
        <v>57500</v>
      </c>
      <c r="I50" s="8" t="s">
        <v>197</v>
      </c>
    </row>
    <row r="51" spans="1:9" ht="15" customHeight="1" x14ac:dyDescent="0.35">
      <c r="A51" s="40" t="s">
        <v>184</v>
      </c>
      <c r="B51" s="12" t="s">
        <v>97</v>
      </c>
      <c r="C51" s="14">
        <v>2</v>
      </c>
      <c r="D51" s="15">
        <f>C51*$M$4</f>
        <v>6</v>
      </c>
      <c r="E51" s="15">
        <f t="shared" si="3"/>
        <v>6</v>
      </c>
      <c r="F51" s="15">
        <f t="shared" si="4"/>
        <v>6</v>
      </c>
      <c r="G51" s="16">
        <f t="shared" si="5"/>
        <v>18</v>
      </c>
      <c r="H51" s="17">
        <f>D51*'ANALISIS INGRESOS'!$G$6+E51*'ANALISIS INGRESOS'!$G$9+F51*'ANALISIS INGRESOS'!$G$8</f>
        <v>103333.33333333334</v>
      </c>
      <c r="I51" s="8" t="s">
        <v>197</v>
      </c>
    </row>
    <row r="52" spans="1:9" ht="15" customHeight="1" x14ac:dyDescent="0.35">
      <c r="A52" s="41" t="s">
        <v>185</v>
      </c>
      <c r="B52" s="20" t="s">
        <v>196</v>
      </c>
      <c r="C52" s="14">
        <v>0</v>
      </c>
      <c r="D52" s="15">
        <f>C52*$M$4</f>
        <v>0</v>
      </c>
      <c r="E52" s="15">
        <f t="shared" si="3"/>
        <v>0</v>
      </c>
      <c r="F52" s="15">
        <f t="shared" si="4"/>
        <v>0</v>
      </c>
      <c r="G52" s="16">
        <f t="shared" si="5"/>
        <v>0</v>
      </c>
      <c r="H52" s="17">
        <f>D52*'ANALISIS INGRESOS'!$G$6+E52*'ANALISIS INGRESOS'!$G$9+F52*'ANALISIS INGRESOS'!$G$8</f>
        <v>0</v>
      </c>
      <c r="I52" s="8" t="s">
        <v>197</v>
      </c>
    </row>
    <row r="53" spans="1:9" ht="15" customHeight="1" x14ac:dyDescent="0.35">
      <c r="A53" s="24" t="s">
        <v>186</v>
      </c>
      <c r="B53" s="24" t="s">
        <v>198</v>
      </c>
      <c r="C53" s="25"/>
      <c r="D53" s="25"/>
      <c r="E53" s="25"/>
      <c r="F53" s="25"/>
      <c r="G53" s="25"/>
      <c r="H53" s="25"/>
      <c r="I53" s="8"/>
    </row>
    <row r="54" spans="1:9" ht="15" customHeight="1" x14ac:dyDescent="0.35">
      <c r="A54" s="40" t="s">
        <v>187</v>
      </c>
      <c r="B54" s="12" t="s">
        <v>71</v>
      </c>
      <c r="C54" s="14">
        <v>1</v>
      </c>
      <c r="D54" s="15">
        <f>C54*$M$4</f>
        <v>3</v>
      </c>
      <c r="E54" s="15">
        <f>C54*$M$4</f>
        <v>3</v>
      </c>
      <c r="F54" s="15">
        <f>C54*$M$4</f>
        <v>3</v>
      </c>
      <c r="G54" s="16">
        <f>SUM(D54:F54)</f>
        <v>9</v>
      </c>
      <c r="H54" s="17">
        <f>D54*'ANALISIS INGRESOS'!$G$6+E54*'ANALISIS INGRESOS'!$G$9+F54*'ANALISIS INGRESOS'!$G$8</f>
        <v>51666.666666666672</v>
      </c>
      <c r="I54" s="8" t="s">
        <v>205</v>
      </c>
    </row>
    <row r="55" spans="1:9" ht="15" customHeight="1" x14ac:dyDescent="0.35">
      <c r="A55" s="40" t="s">
        <v>188</v>
      </c>
      <c r="B55" s="12" t="s">
        <v>199</v>
      </c>
      <c r="C55" s="14">
        <v>3</v>
      </c>
      <c r="D55" s="15"/>
      <c r="E55" s="15">
        <f>C55*$M$4</f>
        <v>9</v>
      </c>
      <c r="F55" s="15">
        <f>C55*$M$4</f>
        <v>9</v>
      </c>
      <c r="G55" s="16">
        <f>SUM(D55:F55)</f>
        <v>18</v>
      </c>
      <c r="H55" s="17">
        <f>D55*'ANALISIS INGRESOS'!$G$6+E55*'ANALISIS INGRESOS'!$G$9+F55*'ANALISIS INGRESOS'!$G$8</f>
        <v>57500</v>
      </c>
      <c r="I55" s="8" t="s">
        <v>205</v>
      </c>
    </row>
    <row r="56" spans="1:9" ht="15" customHeight="1" x14ac:dyDescent="0.35">
      <c r="A56" s="40" t="s">
        <v>189</v>
      </c>
      <c r="B56" s="12" t="s">
        <v>200</v>
      </c>
      <c r="C56" s="14">
        <v>3</v>
      </c>
      <c r="D56" s="15"/>
      <c r="E56" s="15">
        <f>C56*$M$4</f>
        <v>9</v>
      </c>
      <c r="F56" s="15">
        <f>C56*$M$4</f>
        <v>9</v>
      </c>
      <c r="G56" s="16">
        <f>SUM(D56:F56)</f>
        <v>18</v>
      </c>
      <c r="H56" s="17">
        <f>D56*'ANALISIS INGRESOS'!$G$6+E56*'ANALISIS INGRESOS'!$G$9+F56*'ANALISIS INGRESOS'!$G$8</f>
        <v>57500</v>
      </c>
      <c r="I56" s="8" t="s">
        <v>205</v>
      </c>
    </row>
    <row r="57" spans="1:9" ht="15" customHeight="1" x14ac:dyDescent="0.35">
      <c r="A57" s="40" t="s">
        <v>190</v>
      </c>
      <c r="B57" s="12" t="s">
        <v>97</v>
      </c>
      <c r="C57" s="14">
        <v>2</v>
      </c>
      <c r="D57" s="15">
        <f>C57*$M$4</f>
        <v>6</v>
      </c>
      <c r="E57" s="15">
        <f>C57*$M$4</f>
        <v>6</v>
      </c>
      <c r="F57" s="15">
        <f>C57*$M$4</f>
        <v>6</v>
      </c>
      <c r="G57" s="16">
        <f>SUM(D57:F57)</f>
        <v>18</v>
      </c>
      <c r="H57" s="17">
        <f>D57*'ANALISIS INGRESOS'!$G$6+E57*'ANALISIS INGRESOS'!$G$9+F57*'ANALISIS INGRESOS'!$G$8</f>
        <v>103333.33333333334</v>
      </c>
      <c r="I57" s="8" t="s">
        <v>205</v>
      </c>
    </row>
    <row r="58" spans="1:9" ht="15" customHeight="1" x14ac:dyDescent="0.35">
      <c r="A58" s="40" t="s">
        <v>191</v>
      </c>
      <c r="B58" s="20" t="s">
        <v>201</v>
      </c>
      <c r="C58" s="14">
        <v>0</v>
      </c>
      <c r="D58" s="15">
        <f>C58*$M$4</f>
        <v>0</v>
      </c>
      <c r="E58" s="15">
        <f>C58*$M$4</f>
        <v>0</v>
      </c>
      <c r="F58" s="15">
        <f>C58*$M$4</f>
        <v>0</v>
      </c>
      <c r="G58" s="16">
        <f>SUM(D58:F58)</f>
        <v>0</v>
      </c>
      <c r="H58" s="17">
        <f>D58*'ANALISIS INGRESOS'!$G$6+E58*'ANALISIS INGRESOS'!$G$9+F58*'ANALISIS INGRESOS'!$G$8</f>
        <v>0</v>
      </c>
      <c r="I58" s="8" t="s">
        <v>205</v>
      </c>
    </row>
    <row r="59" spans="1:9" ht="15" customHeight="1" x14ac:dyDescent="0.35">
      <c r="A59" s="10" t="s">
        <v>123</v>
      </c>
      <c r="B59" s="10" t="s">
        <v>54</v>
      </c>
      <c r="C59" s="11"/>
      <c r="D59" s="11"/>
      <c r="E59" s="11"/>
      <c r="F59" s="11"/>
      <c r="G59" s="11"/>
      <c r="H59" s="11"/>
    </row>
    <row r="60" spans="1:9" ht="15" customHeight="1" x14ac:dyDescent="0.35">
      <c r="A60" s="12" t="s">
        <v>124</v>
      </c>
      <c r="B60" s="12" t="s">
        <v>125</v>
      </c>
      <c r="C60" s="14">
        <v>2</v>
      </c>
      <c r="D60" s="15"/>
      <c r="E60" s="15">
        <f>C60*$M$4</f>
        <v>6</v>
      </c>
      <c r="F60" s="15">
        <f>C60*$M$4</f>
        <v>6</v>
      </c>
      <c r="G60" s="16">
        <f t="shared" ref="G60:G65" si="6">SUM(D60:F60)</f>
        <v>12</v>
      </c>
      <c r="H60" s="17">
        <f>D60*'ANALISIS INGRESOS'!$G$6+E60*'ANALISIS INGRESOS'!$G$9+F60*'ANALISIS INGRESOS'!$G$8</f>
        <v>38333.333333333336</v>
      </c>
      <c r="I60" s="8" t="s">
        <v>126</v>
      </c>
    </row>
    <row r="61" spans="1:9" ht="15" customHeight="1" x14ac:dyDescent="0.35">
      <c r="A61" s="12" t="s">
        <v>127</v>
      </c>
      <c r="B61" s="12" t="s">
        <v>131</v>
      </c>
      <c r="C61" s="14">
        <v>1</v>
      </c>
      <c r="D61" s="15">
        <f>C61*$M$4</f>
        <v>3</v>
      </c>
      <c r="E61" s="15"/>
      <c r="F61" s="15"/>
      <c r="G61" s="16">
        <f t="shared" si="6"/>
        <v>3</v>
      </c>
      <c r="H61" s="17">
        <f>D61*'ANALISIS INGRESOS'!$G$6+E61*'ANALISIS INGRESOS'!$G$9+F61*'ANALISIS INGRESOS'!$G$8</f>
        <v>32500</v>
      </c>
      <c r="I61" s="8" t="s">
        <v>126</v>
      </c>
    </row>
    <row r="62" spans="1:9" ht="15" customHeight="1" x14ac:dyDescent="0.35">
      <c r="A62" s="19" t="s">
        <v>128</v>
      </c>
      <c r="B62" s="20" t="s">
        <v>202</v>
      </c>
      <c r="C62" s="14">
        <v>0</v>
      </c>
      <c r="D62" s="15"/>
      <c r="E62" s="15"/>
      <c r="F62" s="15"/>
      <c r="G62" s="16">
        <f t="shared" si="6"/>
        <v>0</v>
      </c>
      <c r="H62" s="17">
        <f>D62*'ANALISIS INGRESOS'!$G$6+E62*'ANALISIS INGRESOS'!$G$9+F62*'ANALISIS INGRESOS'!$G$8</f>
        <v>0</v>
      </c>
      <c r="I62" s="8" t="s">
        <v>126</v>
      </c>
    </row>
    <row r="63" spans="1:9" ht="15" customHeight="1" x14ac:dyDescent="0.35">
      <c r="A63" s="12" t="s">
        <v>129</v>
      </c>
      <c r="B63" s="12" t="s">
        <v>133</v>
      </c>
      <c r="C63" s="14">
        <v>1</v>
      </c>
      <c r="D63" s="15">
        <f>C63*$M$4</f>
        <v>3</v>
      </c>
      <c r="E63" s="15">
        <f>C63*$M$4</f>
        <v>3</v>
      </c>
      <c r="F63" s="15">
        <f>C63*$M$4</f>
        <v>3</v>
      </c>
      <c r="G63" s="16">
        <f t="shared" si="6"/>
        <v>9</v>
      </c>
      <c r="H63" s="17">
        <f>D63*'ANALISIS INGRESOS'!$G$6+E63*'ANALISIS INGRESOS'!$G$9+F63*'ANALISIS INGRESOS'!$G$8</f>
        <v>51666.666666666672</v>
      </c>
      <c r="I63" s="8" t="s">
        <v>126</v>
      </c>
    </row>
    <row r="64" spans="1:9" ht="15" customHeight="1" x14ac:dyDescent="0.35">
      <c r="A64" s="12" t="s">
        <v>130</v>
      </c>
      <c r="B64" s="12" t="s">
        <v>134</v>
      </c>
      <c r="C64" s="14">
        <v>2</v>
      </c>
      <c r="D64" s="15">
        <f>C64*$M$4</f>
        <v>6</v>
      </c>
      <c r="E64" s="15">
        <f>C64*$M$4</f>
        <v>6</v>
      </c>
      <c r="F64" s="15">
        <f>C64*$M$4</f>
        <v>6</v>
      </c>
      <c r="G64" s="16">
        <f t="shared" si="6"/>
        <v>18</v>
      </c>
      <c r="H64" s="17">
        <f>D64*'ANALISIS INGRESOS'!$G$6+E64*'ANALISIS INGRESOS'!$G$9+F64*'ANALISIS INGRESOS'!$G$8</f>
        <v>103333.33333333334</v>
      </c>
      <c r="I64" s="8" t="s">
        <v>126</v>
      </c>
    </row>
    <row r="65" spans="1:9" ht="15" customHeight="1" x14ac:dyDescent="0.35">
      <c r="A65" s="19" t="s">
        <v>132</v>
      </c>
      <c r="B65" s="20" t="s">
        <v>203</v>
      </c>
      <c r="C65" s="14">
        <v>0</v>
      </c>
      <c r="D65" s="15"/>
      <c r="E65" s="15"/>
      <c r="F65" s="15"/>
      <c r="G65" s="16">
        <f t="shared" si="6"/>
        <v>0</v>
      </c>
      <c r="H65" s="17">
        <f>D65*'ANALISIS INGRESOS'!$G$6+E65*'ANALISIS INGRESOS'!$G$9+F65*'ANALISIS INGRESOS'!$G$8</f>
        <v>0</v>
      </c>
      <c r="I65" s="8" t="s">
        <v>126</v>
      </c>
    </row>
    <row r="66" spans="1:9" ht="15" customHeight="1" x14ac:dyDescent="0.35">
      <c r="A66" s="10" t="s">
        <v>135</v>
      </c>
      <c r="B66" s="10" t="s">
        <v>57</v>
      </c>
      <c r="C66" s="11"/>
      <c r="D66" s="11"/>
      <c r="E66" s="11"/>
      <c r="F66" s="11"/>
      <c r="G66" s="11"/>
      <c r="H66" s="11"/>
    </row>
    <row r="67" spans="1:9" ht="15" customHeight="1" x14ac:dyDescent="0.35">
      <c r="A67" s="12" t="s">
        <v>136</v>
      </c>
      <c r="B67" s="12" t="s">
        <v>137</v>
      </c>
      <c r="C67" s="14">
        <v>2</v>
      </c>
      <c r="D67" s="15">
        <f>C67*$M$4</f>
        <v>6</v>
      </c>
      <c r="E67" s="15">
        <f>C67*$M$4</f>
        <v>6</v>
      </c>
      <c r="F67" s="15">
        <f>C67*$M$4</f>
        <v>6</v>
      </c>
      <c r="G67" s="16">
        <f>SUM(D67:F67)</f>
        <v>18</v>
      </c>
      <c r="H67" s="17">
        <f>D67*'ANALISIS INGRESOS'!$G$6+E67*'ANALISIS INGRESOS'!$G$9+F67*'ANALISIS INGRESOS'!$G$8</f>
        <v>103333.33333333334</v>
      </c>
      <c r="I67" s="8" t="s">
        <v>138</v>
      </c>
    </row>
    <row r="68" spans="1:9" ht="15" customHeight="1" x14ac:dyDescent="0.35">
      <c r="A68" s="12" t="s">
        <v>139</v>
      </c>
      <c r="B68" s="12" t="s">
        <v>140</v>
      </c>
      <c r="C68" s="14">
        <v>2</v>
      </c>
      <c r="D68" s="15">
        <f>C68*$M$4</f>
        <v>6</v>
      </c>
      <c r="E68" s="15">
        <f>C68*$M$4</f>
        <v>6</v>
      </c>
      <c r="F68" s="15">
        <f>C68*$M$4</f>
        <v>6</v>
      </c>
      <c r="G68" s="16">
        <f>SUM(D68:F68)</f>
        <v>18</v>
      </c>
      <c r="H68" s="17">
        <f>D68*'ANALISIS INGRESOS'!$G$6+E68*'ANALISIS INGRESOS'!$G$9+F68*'ANALISIS INGRESOS'!$G$8</f>
        <v>103333.33333333334</v>
      </c>
      <c r="I68" s="8" t="s">
        <v>138</v>
      </c>
    </row>
    <row r="69" spans="1:9" ht="15" customHeight="1" x14ac:dyDescent="0.35">
      <c r="A69" s="12" t="s">
        <v>141</v>
      </c>
      <c r="B69" s="12" t="s">
        <v>142</v>
      </c>
      <c r="C69" s="14">
        <v>1</v>
      </c>
      <c r="D69" s="15">
        <f>C69*$M$4</f>
        <v>3</v>
      </c>
      <c r="E69" s="15">
        <f>C69*$M$4</f>
        <v>3</v>
      </c>
      <c r="F69" s="15">
        <f>C69*$M$4</f>
        <v>3</v>
      </c>
      <c r="G69" s="16">
        <f>SUM(D69:F69)</f>
        <v>9</v>
      </c>
      <c r="H69" s="17">
        <f>D69*'ANALISIS INGRESOS'!$G$6+E69*'ANALISIS INGRESOS'!$G$9+F69*'ANALISIS INGRESOS'!$G$8</f>
        <v>51666.666666666672</v>
      </c>
      <c r="I69" s="8" t="s">
        <v>138</v>
      </c>
    </row>
    <row r="70" spans="1:9" ht="15" customHeight="1" x14ac:dyDescent="0.35">
      <c r="A70" s="19" t="s">
        <v>143</v>
      </c>
      <c r="B70" s="20" t="s">
        <v>204</v>
      </c>
      <c r="C70" s="14">
        <v>0</v>
      </c>
      <c r="D70" s="15"/>
      <c r="E70" s="15"/>
      <c r="F70" s="15"/>
      <c r="G70" s="16">
        <f>SUM(D70:F70)</f>
        <v>0</v>
      </c>
      <c r="H70" s="17">
        <f>D70*'ANALISIS INGRESOS'!$G$6+E70*'ANALISIS INGRESOS'!$G$9+F70*'ANALISIS INGRESOS'!$G$8</f>
        <v>0</v>
      </c>
      <c r="I70" s="8" t="s">
        <v>138</v>
      </c>
    </row>
    <row r="71" spans="1:9" ht="15" customHeight="1" x14ac:dyDescent="0.35">
      <c r="A71" s="11"/>
      <c r="B71" s="10" t="s">
        <v>144</v>
      </c>
      <c r="C71" s="29">
        <f t="shared" ref="C71:H71" si="7">SUM(C7:C70)</f>
        <v>94</v>
      </c>
      <c r="D71" s="29">
        <f t="shared" si="7"/>
        <v>150</v>
      </c>
      <c r="E71" s="29">
        <f t="shared" si="7"/>
        <v>252</v>
      </c>
      <c r="F71" s="29">
        <f t="shared" si="7"/>
        <v>198</v>
      </c>
      <c r="G71" s="29">
        <f t="shared" si="7"/>
        <v>600</v>
      </c>
      <c r="H71" s="30">
        <f t="shared" si="7"/>
        <v>3085000.0000000009</v>
      </c>
    </row>
  </sheetData>
  <mergeCells count="8">
    <mergeCell ref="J17:L17"/>
    <mergeCell ref="J18:L18"/>
    <mergeCell ref="J19:L19"/>
    <mergeCell ref="J4:L4"/>
    <mergeCell ref="J13:L13"/>
    <mergeCell ref="J14:L14"/>
    <mergeCell ref="J15:L15"/>
    <mergeCell ref="J16:L16"/>
  </mergeCells>
  <pageMargins left="0.75" right="0.75" top="1" bottom="1" header="0.511811023622047" footer="0.511811023622047"/>
  <pageSetup paperSize="9" fitToHeight="0" orientation="landscape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2"/>
  <sheetViews>
    <sheetView zoomScaleNormal="100" workbookViewId="0"/>
  </sheetViews>
  <sheetFormatPr baseColWidth="10" defaultColWidth="11.453125" defaultRowHeight="14.5" x14ac:dyDescent="0.35"/>
  <cols>
    <col min="1" max="1" width="19.453125" style="1" customWidth="1"/>
    <col min="2" max="2" width="17.54296875" style="1" customWidth="1"/>
    <col min="3" max="3" width="11.81640625" style="1" customWidth="1"/>
    <col min="4" max="4" width="12" style="1" customWidth="1"/>
    <col min="5" max="5" width="13.81640625" style="1" customWidth="1"/>
    <col min="6" max="7" width="12.453125" style="1" customWidth="1"/>
  </cols>
  <sheetData>
    <row r="2" spans="1:13" ht="14.25" customHeight="1" x14ac:dyDescent="0.35">
      <c r="H2" s="45" t="s">
        <v>145</v>
      </c>
      <c r="I2" s="45"/>
      <c r="J2" s="45"/>
      <c r="K2" s="45"/>
      <c r="L2" s="45"/>
      <c r="M2" s="45"/>
    </row>
    <row r="3" spans="1:13" ht="18" customHeight="1" x14ac:dyDescent="0.45">
      <c r="H3" s="46" t="s">
        <v>146</v>
      </c>
      <c r="I3" s="46"/>
      <c r="J3" s="46"/>
      <c r="K3" s="46"/>
    </row>
    <row r="4" spans="1:13" ht="14.25" customHeight="1" x14ac:dyDescent="0.35">
      <c r="C4" s="47" t="s">
        <v>147</v>
      </c>
      <c r="D4" s="47"/>
      <c r="E4" s="47"/>
    </row>
    <row r="5" spans="1:13" ht="14.25" customHeight="1" x14ac:dyDescent="0.35">
      <c r="A5" s="31" t="s">
        <v>13</v>
      </c>
      <c r="B5" s="31" t="s">
        <v>14</v>
      </c>
      <c r="C5" s="31" t="s">
        <v>148</v>
      </c>
      <c r="D5" s="31" t="s">
        <v>149</v>
      </c>
      <c r="E5" s="31" t="s">
        <v>150</v>
      </c>
      <c r="F5" s="31" t="s">
        <v>151</v>
      </c>
      <c r="G5" s="31" t="s">
        <v>69</v>
      </c>
    </row>
    <row r="6" spans="1:13" ht="14.25" customHeight="1" x14ac:dyDescent="0.35">
      <c r="A6" s="31" t="s">
        <v>152</v>
      </c>
      <c r="B6" s="32" t="s">
        <v>153</v>
      </c>
      <c r="C6" s="33"/>
      <c r="D6" s="33" t="s">
        <v>154</v>
      </c>
      <c r="E6" s="34">
        <v>0.5</v>
      </c>
      <c r="F6" s="35">
        <f>(C20*E6)+1300000</f>
        <v>1950000</v>
      </c>
      <c r="G6" s="35">
        <f t="shared" ref="G6:G11" si="0">F6/180</f>
        <v>10833.333333333334</v>
      </c>
    </row>
    <row r="7" spans="1:13" ht="14.25" customHeight="1" x14ac:dyDescent="0.35">
      <c r="A7" s="31" t="s">
        <v>155</v>
      </c>
      <c r="B7" s="32" t="s">
        <v>156</v>
      </c>
      <c r="C7" s="33"/>
      <c r="D7" s="33" t="s">
        <v>154</v>
      </c>
      <c r="E7" s="34">
        <v>0.3</v>
      </c>
      <c r="F7" s="35">
        <f>(C22*E7)+1300000</f>
        <v>1300000</v>
      </c>
      <c r="G7" s="35">
        <f t="shared" si="0"/>
        <v>7222.2222222222226</v>
      </c>
    </row>
    <row r="8" spans="1:13" ht="14.25" customHeight="1" x14ac:dyDescent="0.35">
      <c r="A8" s="31" t="s">
        <v>157</v>
      </c>
      <c r="B8" s="32" t="s">
        <v>158</v>
      </c>
      <c r="C8" s="33" t="s">
        <v>154</v>
      </c>
      <c r="D8" s="33"/>
      <c r="E8" s="33"/>
      <c r="F8" s="35">
        <f>B19</f>
        <v>500000</v>
      </c>
      <c r="G8" s="35">
        <f t="shared" si="0"/>
        <v>2777.7777777777778</v>
      </c>
    </row>
    <row r="9" spans="1:13" ht="14.25" customHeight="1" x14ac:dyDescent="0.35">
      <c r="A9" s="31" t="s">
        <v>159</v>
      </c>
      <c r="B9" s="32" t="s">
        <v>160</v>
      </c>
      <c r="C9" s="33" t="s">
        <v>154</v>
      </c>
      <c r="D9" s="33"/>
      <c r="E9" s="34">
        <v>0.3</v>
      </c>
      <c r="F9" s="35">
        <f>(B19*E9)+500000</f>
        <v>650000</v>
      </c>
      <c r="G9" s="35">
        <f t="shared" si="0"/>
        <v>3611.1111111111113</v>
      </c>
    </row>
    <row r="10" spans="1:13" ht="14.25" customHeight="1" x14ac:dyDescent="0.35">
      <c r="A10" s="31" t="s">
        <v>161</v>
      </c>
      <c r="B10" s="32" t="s">
        <v>162</v>
      </c>
      <c r="C10" s="33" t="s">
        <v>154</v>
      </c>
      <c r="D10" s="33"/>
      <c r="E10" s="33"/>
      <c r="F10" s="35">
        <f>B19</f>
        <v>500000</v>
      </c>
      <c r="G10" s="35">
        <f t="shared" si="0"/>
        <v>2777.7777777777778</v>
      </c>
    </row>
    <row r="11" spans="1:13" ht="14.25" customHeight="1" x14ac:dyDescent="0.35">
      <c r="A11" s="31" t="s">
        <v>163</v>
      </c>
      <c r="B11" s="32" t="s">
        <v>164</v>
      </c>
      <c r="C11" s="33" t="s">
        <v>154</v>
      </c>
      <c r="D11" s="33"/>
      <c r="E11" s="33"/>
      <c r="F11" s="35">
        <v>500000</v>
      </c>
      <c r="G11" s="35">
        <f t="shared" si="0"/>
        <v>2777.7777777777778</v>
      </c>
    </row>
    <row r="14" spans="1:13" ht="14.25" customHeight="1" x14ac:dyDescent="0.35">
      <c r="D14" s="1" t="s">
        <v>165</v>
      </c>
      <c r="E14" s="1">
        <v>45</v>
      </c>
    </row>
    <row r="15" spans="1:13" ht="14.25" customHeight="1" x14ac:dyDescent="0.35">
      <c r="D15" s="1" t="s">
        <v>166</v>
      </c>
      <c r="E15" s="1">
        <f>E14*4</f>
        <v>180</v>
      </c>
    </row>
    <row r="16" spans="1:13" ht="14.25" customHeight="1" x14ac:dyDescent="0.35">
      <c r="D16" s="1" t="s">
        <v>69</v>
      </c>
      <c r="E16" s="1" t="s">
        <v>167</v>
      </c>
    </row>
    <row r="18" spans="1:11" ht="14.25" customHeight="1" x14ac:dyDescent="0.35">
      <c r="A18" s="36" t="s">
        <v>168</v>
      </c>
      <c r="B18" s="36" t="s">
        <v>169</v>
      </c>
      <c r="C18" s="36" t="s">
        <v>170</v>
      </c>
      <c r="D18" s="36" t="s">
        <v>171</v>
      </c>
    </row>
    <row r="19" spans="1:11" ht="14.25" customHeight="1" x14ac:dyDescent="0.35">
      <c r="A19" s="37" t="s">
        <v>172</v>
      </c>
      <c r="B19" s="35">
        <v>500000</v>
      </c>
      <c r="C19" s="35">
        <v>700000</v>
      </c>
      <c r="D19" s="35">
        <v>500000</v>
      </c>
    </row>
    <row r="20" spans="1:11" ht="14.25" customHeight="1" x14ac:dyDescent="0.35">
      <c r="A20" s="37" t="s">
        <v>173</v>
      </c>
      <c r="B20" s="35">
        <v>900000</v>
      </c>
      <c r="C20" s="35">
        <v>1300000</v>
      </c>
      <c r="D20" s="35">
        <v>800000</v>
      </c>
    </row>
    <row r="23" spans="1:11" ht="18" customHeight="1" x14ac:dyDescent="0.45">
      <c r="H23" s="46" t="s">
        <v>174</v>
      </c>
      <c r="I23" s="46"/>
      <c r="J23" s="46"/>
      <c r="K23" s="46"/>
    </row>
    <row r="42" spans="8:11" ht="14.25" customHeight="1" x14ac:dyDescent="0.35">
      <c r="H42" s="45" t="s">
        <v>171</v>
      </c>
      <c r="I42" s="45"/>
      <c r="J42" s="45"/>
      <c r="K42" s="45"/>
    </row>
  </sheetData>
  <mergeCells count="5">
    <mergeCell ref="H2:M2"/>
    <mergeCell ref="H3:K3"/>
    <mergeCell ref="C4:E4"/>
    <mergeCell ref="H23:K23"/>
    <mergeCell ref="H42:K42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EDT</vt:lpstr>
      <vt:lpstr>ANALISIS INGRESOS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Duoc</dc:creator>
  <dc:description/>
  <cp:lastModifiedBy>Philip Castaneda</cp:lastModifiedBy>
  <cp:revision>0</cp:revision>
  <dcterms:created xsi:type="dcterms:W3CDTF">2016-03-23T12:19:20Z</dcterms:created>
  <dcterms:modified xsi:type="dcterms:W3CDTF">2026-10-11T21:03:07Z</dcterms:modified>
  <dc:language>en-US</dc:language>
</cp:coreProperties>
</file>